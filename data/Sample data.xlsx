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Option Backtest\data\"/>
    </mc:Choice>
  </mc:AlternateContent>
  <xr:revisionPtr revIDLastSave="0" documentId="13_ncr:1_{F93E14BC-6B58-4541-88E5-45BE806E6D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  <definedName name="_xlnm._FilterDatabase" localSheetId="2" hidden="1">Sheet3!$A$1:$F$131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1" l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8" i="1"/>
  <c r="E7" i="1"/>
  <c r="D7" i="1"/>
  <c r="D9" i="1" s="1"/>
  <c r="A7" i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E6" i="1"/>
  <c r="D6" i="1"/>
  <c r="D10" i="1" s="1"/>
  <c r="A6" i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A38" i="1" s="1"/>
  <c r="A40" i="1" s="1"/>
  <c r="A42" i="1" s="1"/>
  <c r="A44" i="1" s="1"/>
  <c r="A46" i="1" s="1"/>
  <c r="A48" i="1" s="1"/>
  <c r="A50" i="1" s="1"/>
  <c r="A52" i="1" s="1"/>
  <c r="A54" i="1" s="1"/>
  <c r="A56" i="1" s="1"/>
  <c r="A58" i="1" s="1"/>
  <c r="A60" i="1" s="1"/>
  <c r="A62" i="1" s="1"/>
  <c r="A64" i="1" s="1"/>
  <c r="A66" i="1" s="1"/>
  <c r="A68" i="1" s="1"/>
  <c r="A70" i="1" s="1"/>
  <c r="A72" i="1" s="1"/>
  <c r="A74" i="1" s="1"/>
  <c r="A76" i="1" s="1"/>
  <c r="A78" i="1" s="1"/>
  <c r="A80" i="1" s="1"/>
  <c r="A82" i="1" s="1"/>
  <c r="A84" i="1" s="1"/>
  <c r="E5" i="1"/>
  <c r="D5" i="1"/>
  <c r="A5" i="1"/>
  <c r="E4" i="1"/>
  <c r="D4" i="1"/>
  <c r="A4" i="1"/>
  <c r="E3" i="1"/>
  <c r="E2" i="1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D8" i="2"/>
  <c r="E7" i="2"/>
  <c r="D7" i="2"/>
  <c r="D9" i="2" s="1"/>
  <c r="A7" i="2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E6" i="2"/>
  <c r="D6" i="2"/>
  <c r="D10" i="2" s="1"/>
  <c r="E5" i="2"/>
  <c r="D5" i="2"/>
  <c r="A5" i="2"/>
  <c r="E4" i="2"/>
  <c r="D4" i="2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38" i="2" s="1"/>
  <c r="A40" i="2" s="1"/>
  <c r="A42" i="2" s="1"/>
  <c r="A44" i="2" s="1"/>
  <c r="A46" i="2" s="1"/>
  <c r="A48" i="2" s="1"/>
  <c r="A50" i="2" s="1"/>
  <c r="A52" i="2" s="1"/>
  <c r="A54" i="2" s="1"/>
  <c r="A56" i="2" s="1"/>
  <c r="A58" i="2" s="1"/>
  <c r="A60" i="2" s="1"/>
  <c r="A62" i="2" s="1"/>
  <c r="A64" i="2" s="1"/>
  <c r="A66" i="2" s="1"/>
  <c r="A68" i="2" s="1"/>
  <c r="A70" i="2" s="1"/>
  <c r="A72" i="2" s="1"/>
  <c r="A74" i="2" s="1"/>
  <c r="A76" i="2" s="1"/>
  <c r="A78" i="2" s="1"/>
  <c r="A80" i="2" s="1"/>
  <c r="A82" i="2" s="1"/>
  <c r="A84" i="2" s="1"/>
  <c r="E3" i="2"/>
  <c r="E2" i="2"/>
  <c r="A5" i="3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81" i="3" s="1"/>
  <c r="A83" i="3" s="1"/>
  <c r="A85" i="3" s="1"/>
  <c r="A87" i="3" s="1"/>
  <c r="A89" i="3" s="1"/>
  <c r="A91" i="3" s="1"/>
  <c r="A93" i="3" s="1"/>
  <c r="A95" i="3" s="1"/>
  <c r="A97" i="3" s="1"/>
  <c r="A99" i="3" s="1"/>
  <c r="A101" i="3" s="1"/>
  <c r="A103" i="3" s="1"/>
  <c r="A105" i="3" s="1"/>
  <c r="A107" i="3" s="1"/>
  <c r="A109" i="3" s="1"/>
  <c r="A111" i="3" s="1"/>
  <c r="A113" i="3" s="1"/>
  <c r="A115" i="3" s="1"/>
  <c r="A117" i="3" s="1"/>
  <c r="A119" i="3" s="1"/>
  <c r="A121" i="3" s="1"/>
  <c r="A123" i="3" s="1"/>
  <c r="A125" i="3" s="1"/>
  <c r="A127" i="3" s="1"/>
  <c r="A129" i="3" s="1"/>
  <c r="A131" i="3" s="1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38" i="3" s="1"/>
  <c r="A40" i="3" s="1"/>
  <c r="A42" i="3" s="1"/>
  <c r="A44" i="3" s="1"/>
  <c r="A46" i="3" s="1"/>
  <c r="A48" i="3" s="1"/>
  <c r="A50" i="3" s="1"/>
  <c r="A52" i="3" s="1"/>
  <c r="A54" i="3" s="1"/>
  <c r="A56" i="3" s="1"/>
  <c r="A58" i="3" s="1"/>
  <c r="A60" i="3" s="1"/>
  <c r="A62" i="3" s="1"/>
  <c r="A64" i="3" s="1"/>
  <c r="A66" i="3" s="1"/>
  <c r="A68" i="3" s="1"/>
  <c r="A70" i="3" s="1"/>
  <c r="A72" i="3" s="1"/>
  <c r="A74" i="3" s="1"/>
  <c r="A76" i="3" s="1"/>
  <c r="A78" i="3" s="1"/>
  <c r="A80" i="3" s="1"/>
  <c r="A82" i="3" s="1"/>
  <c r="A84" i="3" s="1"/>
  <c r="A86" i="3" s="1"/>
  <c r="A88" i="3" s="1"/>
  <c r="A90" i="3" s="1"/>
  <c r="A92" i="3" s="1"/>
  <c r="A94" i="3" s="1"/>
  <c r="A96" i="3" s="1"/>
  <c r="A98" i="3" s="1"/>
  <c r="A100" i="3" s="1"/>
  <c r="A102" i="3" s="1"/>
  <c r="A104" i="3" s="1"/>
  <c r="A106" i="3" s="1"/>
  <c r="A108" i="3" s="1"/>
  <c r="A110" i="3" s="1"/>
  <c r="A112" i="3" s="1"/>
  <c r="A114" i="3" s="1"/>
  <c r="A116" i="3" s="1"/>
  <c r="A118" i="3" s="1"/>
  <c r="A120" i="3" s="1"/>
  <c r="A122" i="3" s="1"/>
  <c r="A124" i="3" s="1"/>
  <c r="A126" i="3" s="1"/>
  <c r="A128" i="3" s="1"/>
  <c r="A130" i="3" s="1"/>
  <c r="D12" i="1" l="1"/>
  <c r="D14" i="1"/>
  <c r="D11" i="1"/>
  <c r="D14" i="2"/>
  <c r="D12" i="2"/>
  <c r="D11" i="2"/>
  <c r="D13" i="1" l="1"/>
  <c r="D15" i="1"/>
  <c r="D18" i="1"/>
  <c r="D16" i="1"/>
  <c r="D13" i="2"/>
  <c r="D15" i="2"/>
  <c r="D18" i="2"/>
  <c r="D16" i="2"/>
  <c r="D22" i="1" l="1"/>
  <c r="D20" i="1"/>
  <c r="D17" i="1"/>
  <c r="D19" i="1"/>
  <c r="D22" i="2"/>
  <c r="D20" i="2"/>
  <c r="D17" i="2"/>
  <c r="D19" i="2"/>
  <c r="D21" i="1" l="1"/>
  <c r="D23" i="1"/>
  <c r="D26" i="1"/>
  <c r="D24" i="1"/>
  <c r="D21" i="2"/>
  <c r="D23" i="2"/>
  <c r="D26" i="2"/>
  <c r="D24" i="2"/>
  <c r="D30" i="1" l="1"/>
  <c r="D28" i="1"/>
  <c r="D25" i="1"/>
  <c r="D27" i="1"/>
  <c r="D30" i="2"/>
  <c r="D28" i="2"/>
  <c r="D25" i="2"/>
  <c r="D27" i="2"/>
  <c r="D29" i="1" l="1"/>
  <c r="D31" i="1"/>
  <c r="D32" i="1"/>
  <c r="D34" i="1"/>
  <c r="D29" i="2"/>
  <c r="D31" i="2"/>
  <c r="D34" i="2"/>
  <c r="D32" i="2"/>
  <c r="D36" i="1" l="1"/>
  <c r="D38" i="1"/>
  <c r="D33" i="1"/>
  <c r="D35" i="1"/>
  <c r="D38" i="2"/>
  <c r="D36" i="2"/>
  <c r="D33" i="2"/>
  <c r="D35" i="2"/>
  <c r="D42" i="1" l="1"/>
  <c r="D40" i="1"/>
  <c r="D37" i="1"/>
  <c r="D39" i="1"/>
  <c r="D37" i="2"/>
  <c r="D39" i="2"/>
  <c r="D42" i="2"/>
  <c r="D40" i="2"/>
  <c r="D41" i="1" l="1"/>
  <c r="D43" i="1"/>
  <c r="D46" i="1"/>
  <c r="D44" i="1"/>
  <c r="D46" i="2"/>
  <c r="D44" i="2"/>
  <c r="D41" i="2"/>
  <c r="D43" i="2"/>
  <c r="D50" i="1" l="1"/>
  <c r="D48" i="1"/>
  <c r="D45" i="1"/>
  <c r="D47" i="1"/>
  <c r="D45" i="2"/>
  <c r="D47" i="2"/>
  <c r="D50" i="2"/>
  <c r="D48" i="2"/>
  <c r="D49" i="1" l="1"/>
  <c r="D51" i="1"/>
  <c r="D54" i="1"/>
  <c r="D52" i="1"/>
  <c r="D54" i="2"/>
  <c r="D52" i="2"/>
  <c r="D49" i="2"/>
  <c r="D51" i="2"/>
  <c r="D58" i="1" l="1"/>
  <c r="D56" i="1"/>
  <c r="D53" i="1"/>
  <c r="D55" i="1"/>
  <c r="D53" i="2"/>
  <c r="D55" i="2"/>
  <c r="D58" i="2"/>
  <c r="D56" i="2"/>
  <c r="D62" i="1" l="1"/>
  <c r="D60" i="1"/>
  <c r="D57" i="1"/>
  <c r="D59" i="1"/>
  <c r="D62" i="2"/>
  <c r="D60" i="2"/>
  <c r="D57" i="2"/>
  <c r="D59" i="2"/>
  <c r="D66" i="1" l="1"/>
  <c r="D64" i="1"/>
  <c r="D61" i="1"/>
  <c r="D63" i="1"/>
  <c r="D61" i="2"/>
  <c r="D63" i="2"/>
  <c r="D66" i="2"/>
  <c r="D64" i="2"/>
  <c r="D70" i="1" l="1"/>
  <c r="D68" i="1"/>
  <c r="D65" i="1"/>
  <c r="D67" i="1"/>
  <c r="D70" i="2"/>
  <c r="D68" i="2"/>
  <c r="D65" i="2"/>
  <c r="D67" i="2"/>
  <c r="D72" i="1" l="1"/>
  <c r="D74" i="1"/>
  <c r="D69" i="1"/>
  <c r="D71" i="1"/>
  <c r="D69" i="2"/>
  <c r="D71" i="2"/>
  <c r="D74" i="2"/>
  <c r="D72" i="2"/>
  <c r="D78" i="1" l="1"/>
  <c r="D76" i="1"/>
  <c r="D73" i="1"/>
  <c r="D75" i="1"/>
  <c r="D73" i="2"/>
  <c r="D75" i="2"/>
  <c r="D78" i="2"/>
  <c r="D76" i="2"/>
  <c r="D77" i="1" l="1"/>
  <c r="D79" i="1"/>
  <c r="D82" i="1"/>
  <c r="D84" i="1" s="1"/>
  <c r="D80" i="1"/>
  <c r="D77" i="2"/>
  <c r="D79" i="2"/>
  <c r="D82" i="2"/>
  <c r="D84" i="2" s="1"/>
  <c r="D80" i="2"/>
  <c r="D81" i="1" l="1"/>
  <c r="D83" i="1"/>
  <c r="D85" i="1" s="1"/>
  <c r="D81" i="2"/>
  <c r="D83" i="2"/>
  <c r="D85" i="2" s="1"/>
</calcChain>
</file>

<file path=xl/sharedStrings.xml><?xml version="1.0" encoding="utf-8"?>
<sst xmlns="http://schemas.openxmlformats.org/spreadsheetml/2006/main" count="617" uniqueCount="11">
  <si>
    <t>Trade #</t>
  </si>
  <si>
    <t>Type</t>
  </si>
  <si>
    <t>Signal</t>
  </si>
  <si>
    <t>Date</t>
  </si>
  <si>
    <t>Time</t>
  </si>
  <si>
    <t>Price</t>
  </si>
  <si>
    <t>Entry</t>
  </si>
  <si>
    <t>Long</t>
  </si>
  <si>
    <t>Exit</t>
  </si>
  <si>
    <t>Short</t>
  </si>
  <si>
    <t>2+F102:F1135943.5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</si>
</sst>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A0A0A"/>
      <name val="Roboto"/>
    </font>
    <font>
      <sz val="11"/>
      <color rgb="FFFF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0" borderId="2" xfId="0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4" fontId="0" fillId="2" borderId="1" xfId="0" applyNumberFormat="1" applyFill="1" applyBorder="1"/>
    <xf numFmtId="4" fontId="0" fillId="0" borderId="1" xfId="0" applyNumberFormat="1" applyBorder="1"/>
    <xf numFmtId="14" fontId="3" fillId="3" borderId="1" xfId="0" applyNumberFormat="1" applyFont="1" applyFill="1" applyBorder="1" applyAlignment="1">
      <alignment vertical="top" wrapText="1" indent="1"/>
    </xf>
    <xf numFmtId="20" fontId="3" fillId="3" borderId="1" xfId="0" applyNumberFormat="1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3" fontId="0" fillId="6" borderId="1" xfId="0" applyNumberFormat="1" applyFill="1" applyBorder="1"/>
    <xf numFmtId="3" fontId="4" fillId="4" borderId="1" xfId="0" applyNumberFormat="1" applyFont="1" applyFill="1" applyBorder="1"/>
    <xf numFmtId="0" fontId="6" fillId="0" borderId="3" xfId="0" applyFont="1" applyBorder="1" applyAlignment="1">
      <alignment horizontal="left" vertical="center" wrapText="1" indent="1" readingOrder="1"/>
    </xf>
    <xf numFmtId="14" fontId="5" fillId="0" borderId="3" xfId="0" applyNumberFormat="1" applyFont="1" applyBorder="1" applyAlignment="1">
      <alignment horizontal="left" vertical="center" wrapText="1" indent="1" readingOrder="1"/>
    </xf>
    <xf numFmtId="20" fontId="5" fillId="0" borderId="3" xfId="0" applyNumberFormat="1" applyFont="1" applyBorder="1" applyAlignment="1">
      <alignment horizontal="left" vertical="center" wrapText="1" indent="1" readingOrder="1"/>
    </xf>
    <xf numFmtId="3" fontId="0" fillId="4" borderId="1" xfId="0" applyNumberFormat="1" applyFill="1" applyBorder="1"/>
    <xf numFmtId="3" fontId="0" fillId="5" borderId="1" xfId="0" applyNumberFormat="1" applyFill="1" applyBorder="1"/>
    <xf numFmtId="3" fontId="0" fillId="7" borderId="1" xfId="0" applyNumberFormat="1" applyFill="1" applyBorder="1"/>
    <xf numFmtId="3" fontId="4" fillId="7" borderId="1" xfId="0" applyNumberFormat="1" applyFont="1" applyFill="1" applyBorder="1"/>
    <xf numFmtId="3" fontId="4" fillId="5" borderId="1" xfId="0" applyNumberFormat="1" applyFont="1" applyFill="1" applyBorder="1"/>
    <xf numFmtId="14" fontId="3" fillId="2" borderId="1" xfId="0" applyNumberFormat="1" applyFont="1" applyFill="1" applyBorder="1" applyAlignment="1">
      <alignment vertical="top" wrapText="1" indent="1"/>
    </xf>
    <xf numFmtId="20" fontId="3" fillId="2" borderId="1" xfId="0" applyNumberFormat="1" applyFont="1" applyFill="1" applyBorder="1" applyAlignment="1">
      <alignment vertical="top" wrapText="1"/>
    </xf>
    <xf numFmtId="20" fontId="0" fillId="0" borderId="0" xfId="0" applyNumberFormat="1"/>
  </cellXfs>
  <cellStyles count="2">
    <cellStyle name="Comma 2" xfId="1" xr:uid="{78F5BEBC-E020-4013-8680-29935213854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5" x14ac:dyDescent="0.25"/>
  <cols>
    <col min="4" max="4" width="12.5703125" style="1" bestFit="1" customWidth="1"/>
    <col min="6" max="6" width="13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10" x14ac:dyDescent="0.25">
      <c r="A2" s="4">
        <v>42</v>
      </c>
      <c r="B2" s="5" t="s">
        <v>8</v>
      </c>
      <c r="C2" s="5" t="s">
        <v>7</v>
      </c>
      <c r="D2" s="10">
        <v>46042</v>
      </c>
      <c r="E2" s="11">
        <f>$J$4</f>
        <v>0.63541666666666663</v>
      </c>
      <c r="F2" s="9">
        <v>24572.85</v>
      </c>
    </row>
    <row r="3" spans="1:10" x14ac:dyDescent="0.25">
      <c r="A3" s="6">
        <v>42</v>
      </c>
      <c r="B3" s="7" t="s">
        <v>6</v>
      </c>
      <c r="C3" s="7" t="s">
        <v>7</v>
      </c>
      <c r="D3" s="30">
        <v>46042</v>
      </c>
      <c r="E3" s="31">
        <f>$J$3</f>
        <v>0.58333333333333337</v>
      </c>
      <c r="F3" s="8">
        <v>24535.75</v>
      </c>
      <c r="J3" s="32">
        <v>0.58333333333333337</v>
      </c>
    </row>
    <row r="4" spans="1:10" x14ac:dyDescent="0.25">
      <c r="A4" s="4">
        <f>A2-1</f>
        <v>41</v>
      </c>
      <c r="B4" s="5" t="s">
        <v>8</v>
      </c>
      <c r="C4" s="5" t="s">
        <v>9</v>
      </c>
      <c r="D4" s="10">
        <f>D2</f>
        <v>46042</v>
      </c>
      <c r="E4" s="11">
        <f t="shared" ref="E4" si="0">$J$4</f>
        <v>0.63541666666666663</v>
      </c>
      <c r="F4" s="9">
        <v>24572.85</v>
      </c>
      <c r="J4" s="32">
        <v>0.63541666666666663</v>
      </c>
    </row>
    <row r="5" spans="1:10" x14ac:dyDescent="0.25">
      <c r="A5" s="6">
        <f>A3-1</f>
        <v>41</v>
      </c>
      <c r="B5" s="7" t="s">
        <v>6</v>
      </c>
      <c r="C5" s="7" t="s">
        <v>9</v>
      </c>
      <c r="D5" s="30">
        <f>D3</f>
        <v>46042</v>
      </c>
      <c r="E5" s="31">
        <f t="shared" ref="E5" si="1">$J$3</f>
        <v>0.58333333333333337</v>
      </c>
      <c r="F5" s="8">
        <v>24535.75</v>
      </c>
    </row>
    <row r="6" spans="1:10" x14ac:dyDescent="0.25">
      <c r="A6" s="4">
        <f t="shared" ref="A6:A69" si="2">A4-1</f>
        <v>40</v>
      </c>
      <c r="B6" s="5" t="s">
        <v>8</v>
      </c>
      <c r="C6" s="5" t="s">
        <v>7</v>
      </c>
      <c r="D6" s="10">
        <f>D2-7</f>
        <v>46035</v>
      </c>
      <c r="E6" s="11">
        <f t="shared" ref="E6:E10" si="3">$J$4</f>
        <v>0.63541666666666663</v>
      </c>
      <c r="F6" s="9">
        <v>24865.4</v>
      </c>
    </row>
    <row r="7" spans="1:10" x14ac:dyDescent="0.25">
      <c r="A7" s="6">
        <f t="shared" si="2"/>
        <v>40</v>
      </c>
      <c r="B7" s="7" t="s">
        <v>6</v>
      </c>
      <c r="C7" s="7" t="s">
        <v>7</v>
      </c>
      <c r="D7" s="30">
        <f>D3-7</f>
        <v>46035</v>
      </c>
      <c r="E7" s="31">
        <f t="shared" ref="E7:E11" si="4">$J$3</f>
        <v>0.58333333333333337</v>
      </c>
      <c r="F7" s="8">
        <v>24886.95</v>
      </c>
    </row>
    <row r="8" spans="1:10" x14ac:dyDescent="0.25">
      <c r="A8" s="4">
        <f t="shared" si="2"/>
        <v>39</v>
      </c>
      <c r="B8" s="5" t="s">
        <v>8</v>
      </c>
      <c r="C8" s="5" t="s">
        <v>9</v>
      </c>
      <c r="D8" s="10">
        <f>D6</f>
        <v>46035</v>
      </c>
      <c r="E8" s="11">
        <f t="shared" ref="E8" si="5">$J$4</f>
        <v>0.63541666666666663</v>
      </c>
      <c r="F8" s="9">
        <v>24865.4</v>
      </c>
    </row>
    <row r="9" spans="1:10" x14ac:dyDescent="0.25">
      <c r="A9" s="6">
        <f t="shared" si="2"/>
        <v>39</v>
      </c>
      <c r="B9" s="7" t="s">
        <v>6</v>
      </c>
      <c r="C9" s="7" t="s">
        <v>9</v>
      </c>
      <c r="D9" s="30">
        <f>D7</f>
        <v>46035</v>
      </c>
      <c r="E9" s="31">
        <f t="shared" ref="E9" si="6">$J$3</f>
        <v>0.58333333333333337</v>
      </c>
      <c r="F9" s="8">
        <v>24886.95</v>
      </c>
    </row>
    <row r="10" spans="1:10" x14ac:dyDescent="0.25">
      <c r="A10" s="4">
        <f t="shared" si="2"/>
        <v>38</v>
      </c>
      <c r="B10" s="5" t="s">
        <v>8</v>
      </c>
      <c r="C10" s="5" t="s">
        <v>7</v>
      </c>
      <c r="D10" s="10">
        <f>D6-7</f>
        <v>46028</v>
      </c>
      <c r="E10" s="11">
        <f t="shared" si="3"/>
        <v>0.63541666666666663</v>
      </c>
      <c r="F10" s="9">
        <v>25221.95</v>
      </c>
    </row>
    <row r="11" spans="1:10" x14ac:dyDescent="0.25">
      <c r="A11" s="6">
        <f t="shared" si="2"/>
        <v>38</v>
      </c>
      <c r="B11" s="7" t="s">
        <v>6</v>
      </c>
      <c r="C11" s="7" t="s">
        <v>7</v>
      </c>
      <c r="D11" s="30">
        <f>D7-7</f>
        <v>46028</v>
      </c>
      <c r="E11" s="31">
        <f t="shared" si="4"/>
        <v>0.58333333333333337</v>
      </c>
      <c r="F11" s="8">
        <v>25198.95</v>
      </c>
    </row>
    <row r="12" spans="1:10" x14ac:dyDescent="0.25">
      <c r="A12" s="4">
        <f t="shared" si="2"/>
        <v>37</v>
      </c>
      <c r="B12" s="5" t="s">
        <v>8</v>
      </c>
      <c r="C12" s="5" t="s">
        <v>9</v>
      </c>
      <c r="D12" s="10">
        <f>D10</f>
        <v>46028</v>
      </c>
      <c r="E12" s="11">
        <f t="shared" ref="E12" si="7">$J$4</f>
        <v>0.63541666666666663</v>
      </c>
      <c r="F12" s="9">
        <v>25221.95</v>
      </c>
    </row>
    <row r="13" spans="1:10" x14ac:dyDescent="0.25">
      <c r="A13" s="6">
        <f t="shared" si="2"/>
        <v>37</v>
      </c>
      <c r="B13" s="7" t="s">
        <v>6</v>
      </c>
      <c r="C13" s="7" t="s">
        <v>9</v>
      </c>
      <c r="D13" s="30">
        <f>D11</f>
        <v>46028</v>
      </c>
      <c r="E13" s="31">
        <f t="shared" ref="E13" si="8">$J$3</f>
        <v>0.58333333333333337</v>
      </c>
      <c r="F13" s="8">
        <v>25198.95</v>
      </c>
    </row>
    <row r="14" spans="1:10" x14ac:dyDescent="0.25">
      <c r="A14" s="4">
        <f t="shared" si="2"/>
        <v>36</v>
      </c>
      <c r="B14" s="5" t="s">
        <v>8</v>
      </c>
      <c r="C14" s="5" t="s">
        <v>7</v>
      </c>
      <c r="D14" s="10">
        <f>D10-7</f>
        <v>46021</v>
      </c>
      <c r="E14" s="11">
        <f t="shared" ref="E14" si="9">$J$4</f>
        <v>0.63541666666666663</v>
      </c>
      <c r="F14" s="9">
        <v>25190.55</v>
      </c>
    </row>
    <row r="15" spans="1:10" x14ac:dyDescent="0.25">
      <c r="A15" s="6">
        <f t="shared" si="2"/>
        <v>36</v>
      </c>
      <c r="B15" s="7" t="s">
        <v>6</v>
      </c>
      <c r="C15" s="7" t="s">
        <v>7</v>
      </c>
      <c r="D15" s="30">
        <f>D11-7</f>
        <v>46021</v>
      </c>
      <c r="E15" s="31">
        <f t="shared" ref="E15" si="10">$J$3</f>
        <v>0.58333333333333337</v>
      </c>
      <c r="F15" s="8">
        <v>25200.5</v>
      </c>
    </row>
    <row r="16" spans="1:10" x14ac:dyDescent="0.25">
      <c r="A16" s="4">
        <f t="shared" si="2"/>
        <v>35</v>
      </c>
      <c r="B16" s="5" t="s">
        <v>8</v>
      </c>
      <c r="C16" s="5" t="s">
        <v>9</v>
      </c>
      <c r="D16" s="10">
        <f>D14</f>
        <v>46021</v>
      </c>
      <c r="E16" s="11">
        <f t="shared" ref="E16" si="11">$J$4</f>
        <v>0.63541666666666663</v>
      </c>
      <c r="F16" s="9">
        <v>25190.55</v>
      </c>
    </row>
    <row r="17" spans="1:6" x14ac:dyDescent="0.25">
      <c r="A17" s="6">
        <f t="shared" si="2"/>
        <v>35</v>
      </c>
      <c r="B17" s="7" t="s">
        <v>6</v>
      </c>
      <c r="C17" s="7" t="s">
        <v>9</v>
      </c>
      <c r="D17" s="30">
        <f>D15</f>
        <v>46021</v>
      </c>
      <c r="E17" s="31">
        <f t="shared" ref="E17" si="12">$J$3</f>
        <v>0.58333333333333337</v>
      </c>
      <c r="F17" s="8">
        <v>25200.5</v>
      </c>
    </row>
    <row r="18" spans="1:6" x14ac:dyDescent="0.25">
      <c r="A18" s="4">
        <f t="shared" si="2"/>
        <v>34</v>
      </c>
      <c r="B18" s="5" t="s">
        <v>8</v>
      </c>
      <c r="C18" s="5" t="s">
        <v>7</v>
      </c>
      <c r="D18" s="10">
        <f>D14-7</f>
        <v>46014</v>
      </c>
      <c r="E18" s="11">
        <f t="shared" ref="E18" si="13">$J$4</f>
        <v>0.63541666666666663</v>
      </c>
      <c r="F18" s="9">
        <v>24631.45</v>
      </c>
    </row>
    <row r="19" spans="1:6" x14ac:dyDescent="0.25">
      <c r="A19" s="6">
        <f t="shared" si="2"/>
        <v>34</v>
      </c>
      <c r="B19" s="7" t="s">
        <v>6</v>
      </c>
      <c r="C19" s="7" t="s">
        <v>7</v>
      </c>
      <c r="D19" s="30">
        <f>D15-7</f>
        <v>46014</v>
      </c>
      <c r="E19" s="31">
        <f t="shared" ref="E19" si="14">$J$3</f>
        <v>0.58333333333333337</v>
      </c>
      <c r="F19" s="8">
        <v>24620.7</v>
      </c>
    </row>
    <row r="20" spans="1:6" x14ac:dyDescent="0.25">
      <c r="A20" s="4">
        <f t="shared" si="2"/>
        <v>33</v>
      </c>
      <c r="B20" s="5" t="s">
        <v>8</v>
      </c>
      <c r="C20" s="5" t="s">
        <v>9</v>
      </c>
      <c r="D20" s="10">
        <f>D18</f>
        <v>46014</v>
      </c>
      <c r="E20" s="11">
        <f t="shared" ref="E20" si="15">$J$4</f>
        <v>0.63541666666666663</v>
      </c>
      <c r="F20" s="9">
        <v>24631.45</v>
      </c>
    </row>
    <row r="21" spans="1:6" x14ac:dyDescent="0.25">
      <c r="A21" s="6">
        <f t="shared" si="2"/>
        <v>33</v>
      </c>
      <c r="B21" s="7" t="s">
        <v>6</v>
      </c>
      <c r="C21" s="7" t="s">
        <v>9</v>
      </c>
      <c r="D21" s="30">
        <f>D19</f>
        <v>46014</v>
      </c>
      <c r="E21" s="31">
        <f t="shared" ref="E21" si="16">$J$3</f>
        <v>0.58333333333333337</v>
      </c>
      <c r="F21" s="8">
        <v>24620.7</v>
      </c>
    </row>
    <row r="22" spans="1:6" x14ac:dyDescent="0.25">
      <c r="A22" s="4">
        <f t="shared" si="2"/>
        <v>32</v>
      </c>
      <c r="B22" s="5" t="s">
        <v>8</v>
      </c>
      <c r="C22" s="5" t="s">
        <v>7</v>
      </c>
      <c r="D22" s="10">
        <f>D18-7</f>
        <v>46007</v>
      </c>
      <c r="E22" s="11">
        <f t="shared" ref="E22" si="17">$J$4</f>
        <v>0.63541666666666663</v>
      </c>
      <c r="F22" s="9">
        <v>25126.25</v>
      </c>
    </row>
    <row r="23" spans="1:6" x14ac:dyDescent="0.25">
      <c r="A23" s="6">
        <f t="shared" si="2"/>
        <v>32</v>
      </c>
      <c r="B23" s="7" t="s">
        <v>6</v>
      </c>
      <c r="C23" s="7" t="s">
        <v>7</v>
      </c>
      <c r="D23" s="30">
        <f>D19-7</f>
        <v>46007</v>
      </c>
      <c r="E23" s="31">
        <f t="shared" ref="E23" si="18">$J$3</f>
        <v>0.58333333333333337</v>
      </c>
      <c r="F23" s="8">
        <v>25167.4</v>
      </c>
    </row>
    <row r="24" spans="1:6" x14ac:dyDescent="0.25">
      <c r="A24" s="4">
        <f t="shared" si="2"/>
        <v>31</v>
      </c>
      <c r="B24" s="5" t="s">
        <v>8</v>
      </c>
      <c r="C24" s="5" t="s">
        <v>9</v>
      </c>
      <c r="D24" s="10">
        <f>D22</f>
        <v>46007</v>
      </c>
      <c r="E24" s="11">
        <f t="shared" ref="E24" si="19">$J$4</f>
        <v>0.63541666666666663</v>
      </c>
      <c r="F24" s="9">
        <v>25126.25</v>
      </c>
    </row>
    <row r="25" spans="1:6" x14ac:dyDescent="0.25">
      <c r="A25" s="6">
        <f t="shared" si="2"/>
        <v>31</v>
      </c>
      <c r="B25" s="7" t="s">
        <v>6</v>
      </c>
      <c r="C25" s="7" t="s">
        <v>9</v>
      </c>
      <c r="D25" s="30">
        <f>D23</f>
        <v>46007</v>
      </c>
      <c r="E25" s="31">
        <f t="shared" ref="E25" si="20">$J$3</f>
        <v>0.58333333333333337</v>
      </c>
      <c r="F25" s="8">
        <v>25167.4</v>
      </c>
    </row>
    <row r="26" spans="1:6" x14ac:dyDescent="0.25">
      <c r="A26" s="4">
        <f t="shared" si="2"/>
        <v>30</v>
      </c>
      <c r="B26" s="5" t="s">
        <v>8</v>
      </c>
      <c r="C26" s="5" t="s">
        <v>7</v>
      </c>
      <c r="D26" s="10">
        <f>D22-7</f>
        <v>46000</v>
      </c>
      <c r="E26" s="11">
        <f t="shared" ref="E26" si="21">$J$4</f>
        <v>0.63541666666666663</v>
      </c>
      <c r="F26" s="9">
        <v>25170.9</v>
      </c>
    </row>
    <row r="27" spans="1:6" x14ac:dyDescent="0.25">
      <c r="A27" s="6">
        <f t="shared" si="2"/>
        <v>30</v>
      </c>
      <c r="B27" s="7" t="s">
        <v>6</v>
      </c>
      <c r="C27" s="7" t="s">
        <v>7</v>
      </c>
      <c r="D27" s="30">
        <f>D23-7</f>
        <v>46000</v>
      </c>
      <c r="E27" s="31">
        <f t="shared" ref="E27" si="22">$J$3</f>
        <v>0.58333333333333337</v>
      </c>
      <c r="F27" s="8">
        <v>25154.400000000001</v>
      </c>
    </row>
    <row r="28" spans="1:6" x14ac:dyDescent="0.25">
      <c r="A28" s="4">
        <f t="shared" si="2"/>
        <v>29</v>
      </c>
      <c r="B28" s="5" t="s">
        <v>8</v>
      </c>
      <c r="C28" s="5" t="s">
        <v>9</v>
      </c>
      <c r="D28" s="10">
        <f>D26</f>
        <v>46000</v>
      </c>
      <c r="E28" s="11">
        <f t="shared" ref="E28" si="23">$J$4</f>
        <v>0.63541666666666663</v>
      </c>
      <c r="F28" s="9">
        <v>25170.9</v>
      </c>
    </row>
    <row r="29" spans="1:6" x14ac:dyDescent="0.25">
      <c r="A29" s="6">
        <f t="shared" si="2"/>
        <v>29</v>
      </c>
      <c r="B29" s="7" t="s">
        <v>6</v>
      </c>
      <c r="C29" s="7" t="s">
        <v>9</v>
      </c>
      <c r="D29" s="30">
        <f>D27</f>
        <v>46000</v>
      </c>
      <c r="E29" s="31">
        <f t="shared" ref="E29" si="24">$J$3</f>
        <v>0.58333333333333337</v>
      </c>
      <c r="F29" s="8">
        <v>25154.400000000001</v>
      </c>
    </row>
    <row r="30" spans="1:6" x14ac:dyDescent="0.25">
      <c r="A30" s="4">
        <f t="shared" si="2"/>
        <v>28</v>
      </c>
      <c r="B30" s="5" t="s">
        <v>8</v>
      </c>
      <c r="C30" s="5" t="s">
        <v>7</v>
      </c>
      <c r="D30" s="10">
        <f>D26-7</f>
        <v>45993</v>
      </c>
      <c r="E30" s="11">
        <f t="shared" ref="E30" si="25">$J$4</f>
        <v>0.63541666666666663</v>
      </c>
      <c r="F30" s="9">
        <v>25833.3</v>
      </c>
    </row>
    <row r="31" spans="1:6" x14ac:dyDescent="0.25">
      <c r="A31" s="6">
        <f t="shared" si="2"/>
        <v>28</v>
      </c>
      <c r="B31" s="7" t="s">
        <v>6</v>
      </c>
      <c r="C31" s="7" t="s">
        <v>7</v>
      </c>
      <c r="D31" s="30">
        <f>D27-7</f>
        <v>45993</v>
      </c>
      <c r="E31" s="31">
        <f t="shared" ref="E31" si="26">$J$3</f>
        <v>0.58333333333333337</v>
      </c>
      <c r="F31" s="8">
        <v>25859.8</v>
      </c>
    </row>
    <row r="32" spans="1:6" x14ac:dyDescent="0.25">
      <c r="A32" s="4">
        <f t="shared" si="2"/>
        <v>27</v>
      </c>
      <c r="B32" s="5" t="s">
        <v>8</v>
      </c>
      <c r="C32" s="5" t="s">
        <v>9</v>
      </c>
      <c r="D32" s="10">
        <f>D30</f>
        <v>45993</v>
      </c>
      <c r="E32" s="11">
        <f t="shared" ref="E32" si="27">$J$4</f>
        <v>0.63541666666666663</v>
      </c>
      <c r="F32" s="9">
        <v>25833.3</v>
      </c>
    </row>
    <row r="33" spans="1:6" x14ac:dyDescent="0.25">
      <c r="A33" s="6">
        <f t="shared" si="2"/>
        <v>27</v>
      </c>
      <c r="B33" s="7" t="s">
        <v>6</v>
      </c>
      <c r="C33" s="7" t="s">
        <v>9</v>
      </c>
      <c r="D33" s="30">
        <f>D31</f>
        <v>45993</v>
      </c>
      <c r="E33" s="31">
        <f t="shared" ref="E33" si="28">$J$3</f>
        <v>0.58333333333333337</v>
      </c>
      <c r="F33" s="8">
        <v>25859.8</v>
      </c>
    </row>
    <row r="34" spans="1:6" x14ac:dyDescent="0.25">
      <c r="A34" s="4">
        <f t="shared" si="2"/>
        <v>26</v>
      </c>
      <c r="B34" s="5" t="s">
        <v>8</v>
      </c>
      <c r="C34" s="5" t="s">
        <v>7</v>
      </c>
      <c r="D34" s="10">
        <f>D30-7</f>
        <v>45986</v>
      </c>
      <c r="E34" s="11">
        <f t="shared" ref="E34" si="29">$J$4</f>
        <v>0.63541666666666663</v>
      </c>
      <c r="F34" s="9">
        <v>25885.599999999999</v>
      </c>
    </row>
    <row r="35" spans="1:6" x14ac:dyDescent="0.25">
      <c r="A35" s="6">
        <f t="shared" si="2"/>
        <v>26</v>
      </c>
      <c r="B35" s="7" t="s">
        <v>6</v>
      </c>
      <c r="C35" s="7" t="s">
        <v>7</v>
      </c>
      <c r="D35" s="30">
        <f>D31-7</f>
        <v>45986</v>
      </c>
      <c r="E35" s="31">
        <f t="shared" ref="E35" si="30">$J$3</f>
        <v>0.58333333333333337</v>
      </c>
      <c r="F35" s="8">
        <v>25835.05</v>
      </c>
    </row>
    <row r="36" spans="1:6" x14ac:dyDescent="0.25">
      <c r="A36" s="4">
        <f t="shared" si="2"/>
        <v>25</v>
      </c>
      <c r="B36" s="5" t="s">
        <v>8</v>
      </c>
      <c r="C36" s="5" t="s">
        <v>9</v>
      </c>
      <c r="D36" s="10">
        <f>D34</f>
        <v>45986</v>
      </c>
      <c r="E36" s="11">
        <f t="shared" ref="E36" si="31">$J$4</f>
        <v>0.63541666666666663</v>
      </c>
      <c r="F36" s="9">
        <v>25885.599999999999</v>
      </c>
    </row>
    <row r="37" spans="1:6" x14ac:dyDescent="0.25">
      <c r="A37" s="6">
        <f t="shared" si="2"/>
        <v>25</v>
      </c>
      <c r="B37" s="7" t="s">
        <v>6</v>
      </c>
      <c r="C37" s="7" t="s">
        <v>9</v>
      </c>
      <c r="D37" s="30">
        <f>D35</f>
        <v>45986</v>
      </c>
      <c r="E37" s="31">
        <f t="shared" ref="E37" si="32">$J$3</f>
        <v>0.58333333333333337</v>
      </c>
      <c r="F37" s="8">
        <v>25835.05</v>
      </c>
    </row>
    <row r="38" spans="1:6" x14ac:dyDescent="0.25">
      <c r="A38" s="4">
        <f t="shared" si="2"/>
        <v>24</v>
      </c>
      <c r="B38" s="5" t="s">
        <v>8</v>
      </c>
      <c r="C38" s="5" t="s">
        <v>7</v>
      </c>
      <c r="D38" s="10">
        <f>D34-7</f>
        <v>45979</v>
      </c>
      <c r="E38" s="11">
        <f t="shared" ref="E38" si="33">$J$4</f>
        <v>0.63541666666666663</v>
      </c>
      <c r="F38" s="9">
        <v>25608.7</v>
      </c>
    </row>
    <row r="39" spans="1:6" x14ac:dyDescent="0.25">
      <c r="A39" s="6">
        <f t="shared" si="2"/>
        <v>24</v>
      </c>
      <c r="B39" s="7" t="s">
        <v>6</v>
      </c>
      <c r="C39" s="7" t="s">
        <v>7</v>
      </c>
      <c r="D39" s="30">
        <f>D35-7</f>
        <v>45979</v>
      </c>
      <c r="E39" s="31">
        <f t="shared" ref="E39" si="34">$J$3</f>
        <v>0.58333333333333337</v>
      </c>
      <c r="F39" s="8">
        <v>25618.6</v>
      </c>
    </row>
    <row r="40" spans="1:6" x14ac:dyDescent="0.25">
      <c r="A40" s="4">
        <f t="shared" si="2"/>
        <v>23</v>
      </c>
      <c r="B40" s="5" t="s">
        <v>8</v>
      </c>
      <c r="C40" s="5" t="s">
        <v>9</v>
      </c>
      <c r="D40" s="10">
        <f>D38</f>
        <v>45979</v>
      </c>
      <c r="E40" s="11">
        <f t="shared" ref="E40" si="35">$J$4</f>
        <v>0.63541666666666663</v>
      </c>
      <c r="F40" s="9">
        <v>25608.7</v>
      </c>
    </row>
    <row r="41" spans="1:6" x14ac:dyDescent="0.25">
      <c r="A41" s="6">
        <f t="shared" si="2"/>
        <v>23</v>
      </c>
      <c r="B41" s="7" t="s">
        <v>6</v>
      </c>
      <c r="C41" s="7" t="s">
        <v>9</v>
      </c>
      <c r="D41" s="30">
        <f>D39</f>
        <v>45979</v>
      </c>
      <c r="E41" s="31">
        <f t="shared" ref="E41" si="36">$J$3</f>
        <v>0.58333333333333337</v>
      </c>
      <c r="F41" s="8">
        <v>25618.6</v>
      </c>
    </row>
    <row r="42" spans="1:6" x14ac:dyDescent="0.25">
      <c r="A42" s="4">
        <f t="shared" si="2"/>
        <v>22</v>
      </c>
      <c r="B42" s="5" t="s">
        <v>8</v>
      </c>
      <c r="C42" s="5" t="s">
        <v>7</v>
      </c>
      <c r="D42" s="10">
        <f>D38-7</f>
        <v>45972</v>
      </c>
      <c r="E42" s="11">
        <f t="shared" ref="E42" si="37">$J$4</f>
        <v>0.63541666666666663</v>
      </c>
      <c r="F42" s="9">
        <v>25555.55</v>
      </c>
    </row>
    <row r="43" spans="1:6" x14ac:dyDescent="0.25">
      <c r="A43" s="6">
        <f t="shared" si="2"/>
        <v>22</v>
      </c>
      <c r="B43" s="7" t="s">
        <v>6</v>
      </c>
      <c r="C43" s="7" t="s">
        <v>7</v>
      </c>
      <c r="D43" s="30">
        <f>D39-7</f>
        <v>45972</v>
      </c>
      <c r="E43" s="31">
        <f t="shared" ref="E43" si="38">$J$3</f>
        <v>0.58333333333333337</v>
      </c>
      <c r="F43" s="8">
        <v>25515.1</v>
      </c>
    </row>
    <row r="44" spans="1:6" x14ac:dyDescent="0.25">
      <c r="A44" s="4">
        <f t="shared" si="2"/>
        <v>21</v>
      </c>
      <c r="B44" s="5" t="s">
        <v>8</v>
      </c>
      <c r="C44" s="5" t="s">
        <v>9</v>
      </c>
      <c r="D44" s="10">
        <f>D42</f>
        <v>45972</v>
      </c>
      <c r="E44" s="11">
        <f t="shared" ref="E44" si="39">$J$4</f>
        <v>0.63541666666666663</v>
      </c>
      <c r="F44" s="9">
        <v>25490.1</v>
      </c>
    </row>
    <row r="45" spans="1:6" x14ac:dyDescent="0.25">
      <c r="A45" s="6">
        <f t="shared" si="2"/>
        <v>21</v>
      </c>
      <c r="B45" s="7" t="s">
        <v>6</v>
      </c>
      <c r="C45" s="7" t="s">
        <v>9</v>
      </c>
      <c r="D45" s="30">
        <f>D43</f>
        <v>45972</v>
      </c>
      <c r="E45" s="31">
        <f t="shared" ref="E45" si="40">$J$3</f>
        <v>0.58333333333333337</v>
      </c>
      <c r="F45" s="8">
        <v>25481.65</v>
      </c>
    </row>
    <row r="46" spans="1:6" x14ac:dyDescent="0.25">
      <c r="A46" s="4">
        <f t="shared" si="2"/>
        <v>20</v>
      </c>
      <c r="B46" s="5" t="s">
        <v>8</v>
      </c>
      <c r="C46" s="5" t="s">
        <v>7</v>
      </c>
      <c r="D46" s="10">
        <f>D42-7</f>
        <v>45965</v>
      </c>
      <c r="E46" s="11">
        <f t="shared" ref="E46" si="41">$J$4</f>
        <v>0.63541666666666663</v>
      </c>
      <c r="F46" s="9">
        <v>25605.9</v>
      </c>
    </row>
    <row r="47" spans="1:6" x14ac:dyDescent="0.25">
      <c r="A47" s="6">
        <f t="shared" si="2"/>
        <v>20</v>
      </c>
      <c r="B47" s="7" t="s">
        <v>6</v>
      </c>
      <c r="C47" s="7" t="s">
        <v>7</v>
      </c>
      <c r="D47" s="30">
        <f>D43-7</f>
        <v>45965</v>
      </c>
      <c r="E47" s="31">
        <f t="shared" ref="E47" si="42">$J$3</f>
        <v>0.58333333333333337</v>
      </c>
      <c r="F47" s="8">
        <v>25590.35</v>
      </c>
    </row>
    <row r="48" spans="1:6" x14ac:dyDescent="0.25">
      <c r="A48" s="4">
        <f t="shared" si="2"/>
        <v>19</v>
      </c>
      <c r="B48" s="5" t="s">
        <v>8</v>
      </c>
      <c r="C48" s="5" t="s">
        <v>9</v>
      </c>
      <c r="D48" s="10">
        <f>D46</f>
        <v>45965</v>
      </c>
      <c r="E48" s="11">
        <f t="shared" ref="E48" si="43">$J$4</f>
        <v>0.63541666666666663</v>
      </c>
      <c r="F48" s="9">
        <v>25691.3</v>
      </c>
    </row>
    <row r="49" spans="1:6" x14ac:dyDescent="0.25">
      <c r="A49" s="6">
        <f t="shared" si="2"/>
        <v>19</v>
      </c>
      <c r="B49" s="7" t="s">
        <v>6</v>
      </c>
      <c r="C49" s="7" t="s">
        <v>9</v>
      </c>
      <c r="D49" s="30">
        <f>D47</f>
        <v>45965</v>
      </c>
      <c r="E49" s="31">
        <f t="shared" ref="E49" si="44">$J$3</f>
        <v>0.58333333333333337</v>
      </c>
      <c r="F49" s="8">
        <v>25693.25</v>
      </c>
    </row>
    <row r="50" spans="1:6" x14ac:dyDescent="0.25">
      <c r="A50" s="4">
        <f t="shared" si="2"/>
        <v>18</v>
      </c>
      <c r="B50" s="5" t="s">
        <v>8</v>
      </c>
      <c r="C50" s="5" t="s">
        <v>7</v>
      </c>
      <c r="D50" s="10">
        <f>D46-7</f>
        <v>45958</v>
      </c>
      <c r="E50" s="11">
        <f t="shared" ref="E50" si="45">$J$4</f>
        <v>0.63541666666666663</v>
      </c>
      <c r="F50" s="9">
        <v>25691.3</v>
      </c>
    </row>
    <row r="51" spans="1:6" x14ac:dyDescent="0.25">
      <c r="A51" s="6">
        <f t="shared" si="2"/>
        <v>18</v>
      </c>
      <c r="B51" s="7" t="s">
        <v>6</v>
      </c>
      <c r="C51" s="7" t="s">
        <v>7</v>
      </c>
      <c r="D51" s="30">
        <f>D47-7</f>
        <v>45958</v>
      </c>
      <c r="E51" s="31">
        <f t="shared" ref="E51" si="46">$J$3</f>
        <v>0.58333333333333337</v>
      </c>
      <c r="F51" s="8">
        <v>25693.25</v>
      </c>
    </row>
    <row r="52" spans="1:6" x14ac:dyDescent="0.25">
      <c r="A52" s="4">
        <f t="shared" si="2"/>
        <v>17</v>
      </c>
      <c r="B52" s="5" t="s">
        <v>8</v>
      </c>
      <c r="C52" s="5" t="s">
        <v>9</v>
      </c>
      <c r="D52" s="10">
        <f>D50</f>
        <v>45958</v>
      </c>
      <c r="E52" s="11">
        <f t="shared" ref="E52" si="47">$J$4</f>
        <v>0.63541666666666663</v>
      </c>
      <c r="F52" s="9">
        <v>25676.55</v>
      </c>
    </row>
    <row r="53" spans="1:6" x14ac:dyDescent="0.25">
      <c r="A53" s="6">
        <f t="shared" si="2"/>
        <v>17</v>
      </c>
      <c r="B53" s="7" t="s">
        <v>6</v>
      </c>
      <c r="C53" s="7" t="s">
        <v>9</v>
      </c>
      <c r="D53" s="30">
        <f>D51</f>
        <v>45958</v>
      </c>
      <c r="E53" s="31">
        <f t="shared" ref="E53" si="48">$J$3</f>
        <v>0.58333333333333337</v>
      </c>
      <c r="F53" s="8">
        <v>25693.85</v>
      </c>
    </row>
    <row r="54" spans="1:6" x14ac:dyDescent="0.25">
      <c r="A54" s="4">
        <f t="shared" si="2"/>
        <v>16</v>
      </c>
      <c r="B54" s="5" t="s">
        <v>8</v>
      </c>
      <c r="C54" s="5" t="s">
        <v>7</v>
      </c>
      <c r="D54" s="10">
        <f>D50-7</f>
        <v>45951</v>
      </c>
      <c r="E54" s="11">
        <f t="shared" ref="E54" si="49">$J$4</f>
        <v>0.63541666666666663</v>
      </c>
      <c r="F54" s="9">
        <v>25894.55</v>
      </c>
    </row>
    <row r="55" spans="1:6" x14ac:dyDescent="0.25">
      <c r="A55" s="6">
        <f t="shared" si="2"/>
        <v>16</v>
      </c>
      <c r="B55" s="7" t="s">
        <v>6</v>
      </c>
      <c r="C55" s="7" t="s">
        <v>7</v>
      </c>
      <c r="D55" s="30">
        <f>D51-7</f>
        <v>45951</v>
      </c>
      <c r="E55" s="31">
        <f t="shared" ref="E55" si="50">$J$3</f>
        <v>0.58333333333333337</v>
      </c>
      <c r="F55" s="8">
        <v>25887.4</v>
      </c>
    </row>
    <row r="56" spans="1:6" x14ac:dyDescent="0.25">
      <c r="A56" s="4">
        <f t="shared" si="2"/>
        <v>15</v>
      </c>
      <c r="B56" s="5" t="s">
        <v>8</v>
      </c>
      <c r="C56" s="5" t="s">
        <v>9</v>
      </c>
      <c r="D56" s="10">
        <f>D54</f>
        <v>45951</v>
      </c>
      <c r="E56" s="11">
        <f t="shared" ref="E56" si="51">$J$4</f>
        <v>0.63541666666666663</v>
      </c>
      <c r="F56" s="9">
        <v>25878.7</v>
      </c>
    </row>
    <row r="57" spans="1:6" x14ac:dyDescent="0.25">
      <c r="A57" s="6">
        <f t="shared" si="2"/>
        <v>15</v>
      </c>
      <c r="B57" s="7" t="s">
        <v>6</v>
      </c>
      <c r="C57" s="7" t="s">
        <v>9</v>
      </c>
      <c r="D57" s="30">
        <f>D55</f>
        <v>45951</v>
      </c>
      <c r="E57" s="31">
        <f t="shared" ref="E57" si="52">$J$3</f>
        <v>0.58333333333333337</v>
      </c>
      <c r="F57" s="8">
        <v>25888.65</v>
      </c>
    </row>
    <row r="58" spans="1:6" x14ac:dyDescent="0.25">
      <c r="A58" s="4">
        <f t="shared" si="2"/>
        <v>14</v>
      </c>
      <c r="B58" s="5" t="s">
        <v>8</v>
      </c>
      <c r="C58" s="5" t="s">
        <v>7</v>
      </c>
      <c r="D58" s="10">
        <f>D54-7</f>
        <v>45944</v>
      </c>
      <c r="E58" s="11">
        <f t="shared" ref="E58" si="53">$J$4</f>
        <v>0.63541666666666663</v>
      </c>
      <c r="F58" s="9">
        <v>25766.3</v>
      </c>
    </row>
    <row r="59" spans="1:6" x14ac:dyDescent="0.25">
      <c r="A59" s="6">
        <f t="shared" si="2"/>
        <v>14</v>
      </c>
      <c r="B59" s="7" t="s">
        <v>6</v>
      </c>
      <c r="C59" s="7" t="s">
        <v>7</v>
      </c>
      <c r="D59" s="30">
        <f>D55-7</f>
        <v>45944</v>
      </c>
      <c r="E59" s="31">
        <f t="shared" ref="E59" si="54">$J$3</f>
        <v>0.58333333333333337</v>
      </c>
      <c r="F59" s="8">
        <v>25886.25</v>
      </c>
    </row>
    <row r="60" spans="1:6" x14ac:dyDescent="0.25">
      <c r="A60" s="4">
        <f t="shared" si="2"/>
        <v>13</v>
      </c>
      <c r="B60" s="5" t="s">
        <v>8</v>
      </c>
      <c r="C60" s="5" t="s">
        <v>9</v>
      </c>
      <c r="D60" s="10">
        <f>D58</f>
        <v>45944</v>
      </c>
      <c r="E60" s="11">
        <f t="shared" ref="E60" si="55">$J$4</f>
        <v>0.63541666666666663</v>
      </c>
      <c r="F60" s="9">
        <v>25993.95</v>
      </c>
    </row>
    <row r="61" spans="1:6" x14ac:dyDescent="0.25">
      <c r="A61" s="6">
        <f t="shared" si="2"/>
        <v>13</v>
      </c>
      <c r="B61" s="7" t="s">
        <v>6</v>
      </c>
      <c r="C61" s="7" t="s">
        <v>9</v>
      </c>
      <c r="D61" s="30">
        <f>D59</f>
        <v>45944</v>
      </c>
      <c r="E61" s="31">
        <f t="shared" ref="E61" si="56">$J$3</f>
        <v>0.58333333333333337</v>
      </c>
      <c r="F61" s="8">
        <v>26010.05</v>
      </c>
    </row>
    <row r="62" spans="1:6" x14ac:dyDescent="0.25">
      <c r="A62" s="4">
        <f t="shared" si="2"/>
        <v>12</v>
      </c>
      <c r="B62" s="5" t="s">
        <v>8</v>
      </c>
      <c r="C62" s="5" t="s">
        <v>7</v>
      </c>
      <c r="D62" s="10">
        <f>D58-7</f>
        <v>45937</v>
      </c>
      <c r="E62" s="11">
        <f t="shared" ref="E62" si="57">$J$4</f>
        <v>0.63541666666666663</v>
      </c>
      <c r="F62" s="9">
        <v>25932.25</v>
      </c>
    </row>
    <row r="63" spans="1:6" x14ac:dyDescent="0.25">
      <c r="A63" s="6">
        <f t="shared" si="2"/>
        <v>12</v>
      </c>
      <c r="B63" s="7" t="s">
        <v>6</v>
      </c>
      <c r="C63" s="7" t="s">
        <v>7</v>
      </c>
      <c r="D63" s="30">
        <f>D59-7</f>
        <v>45937</v>
      </c>
      <c r="E63" s="31">
        <f t="shared" ref="E63" si="58">$J$3</f>
        <v>0.58333333333333337</v>
      </c>
      <c r="F63" s="8">
        <v>25967.85</v>
      </c>
    </row>
    <row r="64" spans="1:6" x14ac:dyDescent="0.25">
      <c r="A64" s="4">
        <f t="shared" si="2"/>
        <v>11</v>
      </c>
      <c r="B64" s="5" t="s">
        <v>8</v>
      </c>
      <c r="C64" s="5" t="s">
        <v>9</v>
      </c>
      <c r="D64" s="10">
        <f>D62</f>
        <v>45937</v>
      </c>
      <c r="E64" s="11">
        <f t="shared" ref="E64" si="59">$J$4</f>
        <v>0.63541666666666663</v>
      </c>
      <c r="F64" s="9">
        <v>25932.25</v>
      </c>
    </row>
    <row r="65" spans="1:6" x14ac:dyDescent="0.25">
      <c r="A65" s="6">
        <f t="shared" si="2"/>
        <v>11</v>
      </c>
      <c r="B65" s="7" t="s">
        <v>6</v>
      </c>
      <c r="C65" s="7" t="s">
        <v>9</v>
      </c>
      <c r="D65" s="30">
        <f>D63</f>
        <v>45937</v>
      </c>
      <c r="E65" s="31">
        <f t="shared" ref="E65" si="60">$J$3</f>
        <v>0.58333333333333337</v>
      </c>
      <c r="F65" s="8">
        <v>25967.85</v>
      </c>
    </row>
    <row r="66" spans="1:6" x14ac:dyDescent="0.25">
      <c r="A66" s="4">
        <f t="shared" si="2"/>
        <v>10</v>
      </c>
      <c r="B66" s="5" t="s">
        <v>8</v>
      </c>
      <c r="C66" s="5" t="s">
        <v>7</v>
      </c>
      <c r="D66" s="10">
        <f>D62-7</f>
        <v>45930</v>
      </c>
      <c r="E66" s="11">
        <f t="shared" ref="E66" si="61">$J$4</f>
        <v>0.63541666666666663</v>
      </c>
      <c r="F66" s="9">
        <v>25942.400000000001</v>
      </c>
    </row>
    <row r="67" spans="1:6" x14ac:dyDescent="0.25">
      <c r="A67" s="6">
        <f t="shared" si="2"/>
        <v>10</v>
      </c>
      <c r="B67" s="7" t="s">
        <v>6</v>
      </c>
      <c r="C67" s="7" t="s">
        <v>7</v>
      </c>
      <c r="D67" s="30">
        <f>D63-7</f>
        <v>45930</v>
      </c>
      <c r="E67" s="31">
        <f t="shared" ref="E67" si="62">$J$3</f>
        <v>0.58333333333333337</v>
      </c>
      <c r="F67" s="8">
        <v>25923.200000000001</v>
      </c>
    </row>
    <row r="68" spans="1:6" x14ac:dyDescent="0.25">
      <c r="A68" s="4">
        <f t="shared" si="2"/>
        <v>9</v>
      </c>
      <c r="B68" s="5" t="s">
        <v>8</v>
      </c>
      <c r="C68" s="5" t="s">
        <v>9</v>
      </c>
      <c r="D68" s="10">
        <f>D66</f>
        <v>45930</v>
      </c>
      <c r="E68" s="11">
        <f t="shared" ref="E68" si="63">$J$4</f>
        <v>0.63541666666666663</v>
      </c>
      <c r="F68" s="9">
        <v>26054.85</v>
      </c>
    </row>
    <row r="69" spans="1:6" x14ac:dyDescent="0.25">
      <c r="A69" s="6">
        <f t="shared" si="2"/>
        <v>9</v>
      </c>
      <c r="B69" s="7" t="s">
        <v>6</v>
      </c>
      <c r="C69" s="7" t="s">
        <v>9</v>
      </c>
      <c r="D69" s="30">
        <f>D67</f>
        <v>45930</v>
      </c>
      <c r="E69" s="31">
        <f t="shared" ref="E69" si="64">$J$3</f>
        <v>0.58333333333333337</v>
      </c>
      <c r="F69" s="8">
        <v>26052.15</v>
      </c>
    </row>
    <row r="70" spans="1:6" x14ac:dyDescent="0.25">
      <c r="A70" s="4">
        <f t="shared" ref="A70:A85" si="65">A68-1</f>
        <v>8</v>
      </c>
      <c r="B70" s="5" t="s">
        <v>8</v>
      </c>
      <c r="C70" s="5" t="s">
        <v>7</v>
      </c>
      <c r="D70" s="10">
        <f>D66-7</f>
        <v>45923</v>
      </c>
      <c r="E70" s="11">
        <f t="shared" ref="E70" si="66">$J$4</f>
        <v>0.63541666666666663</v>
      </c>
      <c r="F70" s="9">
        <v>26208.35</v>
      </c>
    </row>
    <row r="71" spans="1:6" x14ac:dyDescent="0.25">
      <c r="A71" s="6">
        <f t="shared" si="65"/>
        <v>8</v>
      </c>
      <c r="B71" s="7" t="s">
        <v>6</v>
      </c>
      <c r="C71" s="7" t="s">
        <v>7</v>
      </c>
      <c r="D71" s="30">
        <f>D67-7</f>
        <v>45923</v>
      </c>
      <c r="E71" s="31">
        <f t="shared" ref="E71" si="67">$J$3</f>
        <v>0.58333333333333337</v>
      </c>
      <c r="F71" s="8">
        <v>26187.200000000001</v>
      </c>
    </row>
    <row r="72" spans="1:6" x14ac:dyDescent="0.25">
      <c r="A72" s="4">
        <f t="shared" si="65"/>
        <v>7</v>
      </c>
      <c r="B72" s="5" t="s">
        <v>8</v>
      </c>
      <c r="C72" s="5" t="s">
        <v>9</v>
      </c>
      <c r="D72" s="10">
        <f>D70</f>
        <v>45923</v>
      </c>
      <c r="E72" s="11">
        <f t="shared" ref="E72" si="68">$J$4</f>
        <v>0.63541666666666663</v>
      </c>
      <c r="F72" s="9">
        <v>26070.35</v>
      </c>
    </row>
    <row r="73" spans="1:6" x14ac:dyDescent="0.25">
      <c r="A73" s="6">
        <f t="shared" si="65"/>
        <v>7</v>
      </c>
      <c r="B73" s="7" t="s">
        <v>6</v>
      </c>
      <c r="C73" s="7" t="s">
        <v>9</v>
      </c>
      <c r="D73" s="30">
        <f>D71</f>
        <v>45923</v>
      </c>
      <c r="E73" s="31">
        <f t="shared" ref="E73" si="69">$J$3</f>
        <v>0.58333333333333337</v>
      </c>
      <c r="F73" s="8">
        <v>26078.5</v>
      </c>
    </row>
    <row r="74" spans="1:6" x14ac:dyDescent="0.25">
      <c r="A74" s="4">
        <f t="shared" si="65"/>
        <v>6</v>
      </c>
      <c r="B74" s="5" t="s">
        <v>8</v>
      </c>
      <c r="C74" s="5" t="s">
        <v>7</v>
      </c>
      <c r="D74" s="10">
        <f>D70-7</f>
        <v>45916</v>
      </c>
      <c r="E74" s="11">
        <f t="shared" ref="E74" si="70">$J$4</f>
        <v>0.63541666666666663</v>
      </c>
      <c r="F74" s="9">
        <v>26039.05</v>
      </c>
    </row>
    <row r="75" spans="1:6" x14ac:dyDescent="0.25">
      <c r="A75" s="6">
        <f t="shared" si="65"/>
        <v>6</v>
      </c>
      <c r="B75" s="7" t="s">
        <v>6</v>
      </c>
      <c r="C75" s="7" t="s">
        <v>7</v>
      </c>
      <c r="D75" s="30">
        <f>D71-7</f>
        <v>45916</v>
      </c>
      <c r="E75" s="31">
        <f t="shared" ref="E75" si="71">$J$3</f>
        <v>0.58333333333333337</v>
      </c>
      <c r="F75" s="8">
        <v>25977.200000000001</v>
      </c>
    </row>
    <row r="76" spans="1:6" x14ac:dyDescent="0.25">
      <c r="A76" s="4">
        <f t="shared" si="65"/>
        <v>5</v>
      </c>
      <c r="B76" s="5" t="s">
        <v>8</v>
      </c>
      <c r="C76" s="5" t="s">
        <v>9</v>
      </c>
      <c r="D76" s="10">
        <f>D74</f>
        <v>45916</v>
      </c>
      <c r="E76" s="11">
        <f t="shared" ref="E76" si="72">$J$4</f>
        <v>0.63541666666666663</v>
      </c>
      <c r="F76" s="9">
        <v>25894.5</v>
      </c>
    </row>
    <row r="77" spans="1:6" x14ac:dyDescent="0.25">
      <c r="A77" s="6">
        <f t="shared" si="65"/>
        <v>5</v>
      </c>
      <c r="B77" s="7" t="s">
        <v>6</v>
      </c>
      <c r="C77" s="7" t="s">
        <v>9</v>
      </c>
      <c r="D77" s="30">
        <f>D75</f>
        <v>45916</v>
      </c>
      <c r="E77" s="31">
        <f t="shared" ref="E77" si="73">$J$3</f>
        <v>0.58333333333333337</v>
      </c>
      <c r="F77" s="8">
        <v>25956.9</v>
      </c>
    </row>
    <row r="78" spans="1:6" x14ac:dyDescent="0.25">
      <c r="A78" s="4">
        <f t="shared" si="65"/>
        <v>4</v>
      </c>
      <c r="B78" s="5" t="s">
        <v>8</v>
      </c>
      <c r="C78" s="5" t="s">
        <v>7</v>
      </c>
      <c r="D78" s="10">
        <f>D74-7</f>
        <v>45909</v>
      </c>
      <c r="E78" s="11">
        <f t="shared" ref="E78" si="74">$J$4</f>
        <v>0.63541666666666663</v>
      </c>
      <c r="F78" s="9">
        <v>25894.5</v>
      </c>
    </row>
    <row r="79" spans="1:6" x14ac:dyDescent="0.25">
      <c r="A79" s="6">
        <f t="shared" si="65"/>
        <v>4</v>
      </c>
      <c r="B79" s="7" t="s">
        <v>6</v>
      </c>
      <c r="C79" s="7" t="s">
        <v>7</v>
      </c>
      <c r="D79" s="30">
        <f>D75-7</f>
        <v>45909</v>
      </c>
      <c r="E79" s="31">
        <f t="shared" ref="E79" si="75">$J$3</f>
        <v>0.58333333333333337</v>
      </c>
      <c r="F79" s="8">
        <v>25956.9</v>
      </c>
    </row>
    <row r="80" spans="1:6" x14ac:dyDescent="0.25">
      <c r="A80" s="4">
        <f t="shared" si="65"/>
        <v>3</v>
      </c>
      <c r="B80" s="5" t="s">
        <v>8</v>
      </c>
      <c r="C80" s="5" t="s">
        <v>9</v>
      </c>
      <c r="D80" s="10">
        <f>D78</f>
        <v>45909</v>
      </c>
      <c r="E80" s="11">
        <f t="shared" ref="E80" si="76">$J$4</f>
        <v>0.63541666666666663</v>
      </c>
      <c r="F80" s="9">
        <v>25899.8</v>
      </c>
    </row>
    <row r="81" spans="1:6" x14ac:dyDescent="0.25">
      <c r="A81" s="6">
        <f t="shared" si="65"/>
        <v>3</v>
      </c>
      <c r="B81" s="7" t="s">
        <v>6</v>
      </c>
      <c r="C81" s="7" t="s">
        <v>9</v>
      </c>
      <c r="D81" s="30">
        <f>D79</f>
        <v>45909</v>
      </c>
      <c r="E81" s="31">
        <f t="shared" ref="E81" si="77">$J$3</f>
        <v>0.58333333333333337</v>
      </c>
      <c r="F81" s="8">
        <v>25883.4</v>
      </c>
    </row>
    <row r="82" spans="1:6" x14ac:dyDescent="0.25">
      <c r="A82" s="4">
        <f t="shared" si="65"/>
        <v>2</v>
      </c>
      <c r="B82" s="5" t="s">
        <v>8</v>
      </c>
      <c r="C82" s="5" t="s">
        <v>7</v>
      </c>
      <c r="D82" s="10">
        <f>D78-7</f>
        <v>45902</v>
      </c>
      <c r="E82" s="11">
        <f t="shared" ref="E82" si="78">$J$4</f>
        <v>0.63541666666666663</v>
      </c>
      <c r="F82" s="9">
        <v>26191.35</v>
      </c>
    </row>
    <row r="83" spans="1:6" x14ac:dyDescent="0.25">
      <c r="A83" s="6">
        <f t="shared" si="65"/>
        <v>2</v>
      </c>
      <c r="B83" s="7" t="s">
        <v>6</v>
      </c>
      <c r="C83" s="7" t="s">
        <v>7</v>
      </c>
      <c r="D83" s="30">
        <f>D79-7</f>
        <v>45902</v>
      </c>
      <c r="E83" s="31">
        <f t="shared" ref="E83" si="79">$J$3</f>
        <v>0.58333333333333337</v>
      </c>
      <c r="F83" s="8">
        <v>26199.4</v>
      </c>
    </row>
    <row r="84" spans="1:6" x14ac:dyDescent="0.25">
      <c r="A84" s="4">
        <f t="shared" si="65"/>
        <v>1</v>
      </c>
      <c r="B84" s="5" t="s">
        <v>8</v>
      </c>
      <c r="C84" s="5" t="s">
        <v>9</v>
      </c>
      <c r="D84" s="10">
        <f>D82</f>
        <v>45902</v>
      </c>
      <c r="E84" s="11">
        <f t="shared" ref="E84" si="80">$J$4</f>
        <v>0.63541666666666663</v>
      </c>
      <c r="F84" s="9">
        <v>26185.95</v>
      </c>
    </row>
    <row r="85" spans="1:6" x14ac:dyDescent="0.25">
      <c r="A85" s="6">
        <f t="shared" si="65"/>
        <v>1</v>
      </c>
      <c r="B85" s="7" t="s">
        <v>6</v>
      </c>
      <c r="C85" s="7" t="s">
        <v>9</v>
      </c>
      <c r="D85" s="30">
        <f>D83</f>
        <v>45902</v>
      </c>
      <c r="E85" s="31">
        <f t="shared" ref="E85" si="81">$J$3</f>
        <v>0.58333333333333337</v>
      </c>
      <c r="F85" s="8">
        <v>26211.5</v>
      </c>
    </row>
  </sheetData>
  <autoFilter ref="A1:F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90CF-EEF4-4DFA-BECB-4EB6FE7F028C}">
  <dimension ref="A1:J85"/>
  <sheetViews>
    <sheetView topLeftCell="A65" workbookViewId="0">
      <selection activeCell="A2" sqref="A2:F85"/>
    </sheetView>
  </sheetViews>
  <sheetFormatPr defaultRowHeight="15" x14ac:dyDescent="0.25"/>
  <cols>
    <col min="4" max="4" width="12.5703125" style="1" bestFit="1" customWidth="1"/>
    <col min="6" max="6" width="13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10" x14ac:dyDescent="0.25">
      <c r="A2" s="4">
        <v>42</v>
      </c>
      <c r="B2" s="5" t="s">
        <v>8</v>
      </c>
      <c r="C2" s="5" t="s">
        <v>7</v>
      </c>
      <c r="D2" s="10">
        <v>46042</v>
      </c>
      <c r="E2" s="11">
        <f>$J$4</f>
        <v>0.625</v>
      </c>
      <c r="F2" s="9">
        <v>24572.85</v>
      </c>
    </row>
    <row r="3" spans="1:10" x14ac:dyDescent="0.25">
      <c r="A3" s="6">
        <v>42</v>
      </c>
      <c r="B3" s="7" t="s">
        <v>6</v>
      </c>
      <c r="C3" s="7" t="s">
        <v>7</v>
      </c>
      <c r="D3" s="30">
        <v>46042</v>
      </c>
      <c r="E3" s="31">
        <f>$J$3</f>
        <v>0.60416666666666663</v>
      </c>
      <c r="F3" s="8">
        <v>24535.75</v>
      </c>
      <c r="J3" s="32">
        <v>0.60416666666666663</v>
      </c>
    </row>
    <row r="4" spans="1:10" x14ac:dyDescent="0.25">
      <c r="A4" s="4">
        <f>A2-1</f>
        <v>41</v>
      </c>
      <c r="B4" s="5" t="s">
        <v>8</v>
      </c>
      <c r="C4" s="5" t="s">
        <v>9</v>
      </c>
      <c r="D4" s="10">
        <f>D2</f>
        <v>46042</v>
      </c>
      <c r="E4" s="11">
        <f t="shared" ref="E4" si="0">$J$4</f>
        <v>0.625</v>
      </c>
      <c r="F4" s="9">
        <v>24572.85</v>
      </c>
      <c r="J4" s="32">
        <v>0.625</v>
      </c>
    </row>
    <row r="5" spans="1:10" x14ac:dyDescent="0.25">
      <c r="A5" s="6">
        <f>A3-1</f>
        <v>41</v>
      </c>
      <c r="B5" s="7" t="s">
        <v>6</v>
      </c>
      <c r="C5" s="7" t="s">
        <v>9</v>
      </c>
      <c r="D5" s="30">
        <f>D3</f>
        <v>46042</v>
      </c>
      <c r="E5" s="31">
        <f t="shared" ref="E5" si="1">$J$3</f>
        <v>0.60416666666666663</v>
      </c>
      <c r="F5" s="8">
        <v>24535.75</v>
      </c>
    </row>
    <row r="6" spans="1:10" x14ac:dyDescent="0.25">
      <c r="A6" s="4">
        <f t="shared" ref="A6:A69" si="2">A4-1</f>
        <v>40</v>
      </c>
      <c r="B6" s="5" t="s">
        <v>8</v>
      </c>
      <c r="C6" s="5" t="s">
        <v>7</v>
      </c>
      <c r="D6" s="10">
        <f>D2-7</f>
        <v>46035</v>
      </c>
      <c r="E6" s="11">
        <f t="shared" ref="E6:E10" si="3">$J$4</f>
        <v>0.625</v>
      </c>
      <c r="F6" s="9">
        <v>24865.4</v>
      </c>
    </row>
    <row r="7" spans="1:10" x14ac:dyDescent="0.25">
      <c r="A7" s="6">
        <f t="shared" si="2"/>
        <v>40</v>
      </c>
      <c r="B7" s="7" t="s">
        <v>6</v>
      </c>
      <c r="C7" s="7" t="s">
        <v>7</v>
      </c>
      <c r="D7" s="30">
        <f>D3-7</f>
        <v>46035</v>
      </c>
      <c r="E7" s="31">
        <f t="shared" ref="E7:E11" si="4">$J$3</f>
        <v>0.60416666666666663</v>
      </c>
      <c r="F7" s="8">
        <v>24886.95</v>
      </c>
    </row>
    <row r="8" spans="1:10" x14ac:dyDescent="0.25">
      <c r="A8" s="4">
        <f t="shared" si="2"/>
        <v>39</v>
      </c>
      <c r="B8" s="5" t="s">
        <v>8</v>
      </c>
      <c r="C8" s="5" t="s">
        <v>9</v>
      </c>
      <c r="D8" s="10">
        <f>D6</f>
        <v>46035</v>
      </c>
      <c r="E8" s="11">
        <f t="shared" ref="E8" si="5">$J$4</f>
        <v>0.625</v>
      </c>
      <c r="F8" s="9">
        <v>24865.4</v>
      </c>
    </row>
    <row r="9" spans="1:10" x14ac:dyDescent="0.25">
      <c r="A9" s="6">
        <f t="shared" si="2"/>
        <v>39</v>
      </c>
      <c r="B9" s="7" t="s">
        <v>6</v>
      </c>
      <c r="C9" s="7" t="s">
        <v>9</v>
      </c>
      <c r="D9" s="30">
        <f>D7</f>
        <v>46035</v>
      </c>
      <c r="E9" s="31">
        <f t="shared" ref="E9" si="6">$J$3</f>
        <v>0.60416666666666663</v>
      </c>
      <c r="F9" s="8">
        <v>24886.95</v>
      </c>
    </row>
    <row r="10" spans="1:10" x14ac:dyDescent="0.25">
      <c r="A10" s="4">
        <f t="shared" si="2"/>
        <v>38</v>
      </c>
      <c r="B10" s="5" t="s">
        <v>8</v>
      </c>
      <c r="C10" s="5" t="s">
        <v>7</v>
      </c>
      <c r="D10" s="10">
        <f>D6-7</f>
        <v>46028</v>
      </c>
      <c r="E10" s="11">
        <f t="shared" si="3"/>
        <v>0.625</v>
      </c>
      <c r="F10" s="9">
        <v>25221.95</v>
      </c>
    </row>
    <row r="11" spans="1:10" x14ac:dyDescent="0.25">
      <c r="A11" s="6">
        <f t="shared" si="2"/>
        <v>38</v>
      </c>
      <c r="B11" s="7" t="s">
        <v>6</v>
      </c>
      <c r="C11" s="7" t="s">
        <v>7</v>
      </c>
      <c r="D11" s="30">
        <f>D7-7</f>
        <v>46028</v>
      </c>
      <c r="E11" s="31">
        <f t="shared" si="4"/>
        <v>0.60416666666666663</v>
      </c>
      <c r="F11" s="8">
        <v>25198.95</v>
      </c>
    </row>
    <row r="12" spans="1:10" x14ac:dyDescent="0.25">
      <c r="A12" s="4">
        <f t="shared" si="2"/>
        <v>37</v>
      </c>
      <c r="B12" s="5" t="s">
        <v>8</v>
      </c>
      <c r="C12" s="5" t="s">
        <v>9</v>
      </c>
      <c r="D12" s="10">
        <f>D10</f>
        <v>46028</v>
      </c>
      <c r="E12" s="11">
        <f t="shared" ref="E12" si="7">$J$4</f>
        <v>0.625</v>
      </c>
      <c r="F12" s="9">
        <v>25221.95</v>
      </c>
    </row>
    <row r="13" spans="1:10" x14ac:dyDescent="0.25">
      <c r="A13" s="6">
        <f t="shared" si="2"/>
        <v>37</v>
      </c>
      <c r="B13" s="7" t="s">
        <v>6</v>
      </c>
      <c r="C13" s="7" t="s">
        <v>9</v>
      </c>
      <c r="D13" s="30">
        <f>D11</f>
        <v>46028</v>
      </c>
      <c r="E13" s="31">
        <f t="shared" ref="E13" si="8">$J$3</f>
        <v>0.60416666666666663</v>
      </c>
      <c r="F13" s="8">
        <v>25198.95</v>
      </c>
    </row>
    <row r="14" spans="1:10" x14ac:dyDescent="0.25">
      <c r="A14" s="4">
        <f t="shared" si="2"/>
        <v>36</v>
      </c>
      <c r="B14" s="5" t="s">
        <v>8</v>
      </c>
      <c r="C14" s="5" t="s">
        <v>7</v>
      </c>
      <c r="D14" s="10">
        <f>D10-7</f>
        <v>46021</v>
      </c>
      <c r="E14" s="11">
        <f t="shared" ref="E14" si="9">$J$4</f>
        <v>0.625</v>
      </c>
      <c r="F14" s="9">
        <v>25190.55</v>
      </c>
    </row>
    <row r="15" spans="1:10" x14ac:dyDescent="0.25">
      <c r="A15" s="6">
        <f t="shared" si="2"/>
        <v>36</v>
      </c>
      <c r="B15" s="7" t="s">
        <v>6</v>
      </c>
      <c r="C15" s="7" t="s">
        <v>7</v>
      </c>
      <c r="D15" s="30">
        <f>D11-7</f>
        <v>46021</v>
      </c>
      <c r="E15" s="31">
        <f t="shared" ref="E15" si="10">$J$3</f>
        <v>0.60416666666666663</v>
      </c>
      <c r="F15" s="8">
        <v>25200.5</v>
      </c>
    </row>
    <row r="16" spans="1:10" x14ac:dyDescent="0.25">
      <c r="A16" s="4">
        <f t="shared" si="2"/>
        <v>35</v>
      </c>
      <c r="B16" s="5" t="s">
        <v>8</v>
      </c>
      <c r="C16" s="5" t="s">
        <v>9</v>
      </c>
      <c r="D16" s="10">
        <f>D14</f>
        <v>46021</v>
      </c>
      <c r="E16" s="11">
        <f t="shared" ref="E16" si="11">$J$4</f>
        <v>0.625</v>
      </c>
      <c r="F16" s="9">
        <v>25190.55</v>
      </c>
    </row>
    <row r="17" spans="1:6" x14ac:dyDescent="0.25">
      <c r="A17" s="6">
        <f t="shared" si="2"/>
        <v>35</v>
      </c>
      <c r="B17" s="7" t="s">
        <v>6</v>
      </c>
      <c r="C17" s="7" t="s">
        <v>9</v>
      </c>
      <c r="D17" s="30">
        <f>D15</f>
        <v>46021</v>
      </c>
      <c r="E17" s="31">
        <f t="shared" ref="E17" si="12">$J$3</f>
        <v>0.60416666666666663</v>
      </c>
      <c r="F17" s="8">
        <v>25200.5</v>
      </c>
    </row>
    <row r="18" spans="1:6" x14ac:dyDescent="0.25">
      <c r="A18" s="4">
        <f t="shared" si="2"/>
        <v>34</v>
      </c>
      <c r="B18" s="5" t="s">
        <v>8</v>
      </c>
      <c r="C18" s="5" t="s">
        <v>7</v>
      </c>
      <c r="D18" s="10">
        <f>D14-7</f>
        <v>46014</v>
      </c>
      <c r="E18" s="11">
        <f t="shared" ref="E18" si="13">$J$4</f>
        <v>0.625</v>
      </c>
      <c r="F18" s="9">
        <v>24631.45</v>
      </c>
    </row>
    <row r="19" spans="1:6" x14ac:dyDescent="0.25">
      <c r="A19" s="6">
        <f t="shared" si="2"/>
        <v>34</v>
      </c>
      <c r="B19" s="7" t="s">
        <v>6</v>
      </c>
      <c r="C19" s="7" t="s">
        <v>7</v>
      </c>
      <c r="D19" s="30">
        <f>D15-7</f>
        <v>46014</v>
      </c>
      <c r="E19" s="31">
        <f t="shared" ref="E19" si="14">$J$3</f>
        <v>0.60416666666666663</v>
      </c>
      <c r="F19" s="8">
        <v>24620.7</v>
      </c>
    </row>
    <row r="20" spans="1:6" x14ac:dyDescent="0.25">
      <c r="A20" s="4">
        <f t="shared" si="2"/>
        <v>33</v>
      </c>
      <c r="B20" s="5" t="s">
        <v>8</v>
      </c>
      <c r="C20" s="5" t="s">
        <v>9</v>
      </c>
      <c r="D20" s="10">
        <f>D18</f>
        <v>46014</v>
      </c>
      <c r="E20" s="11">
        <f t="shared" ref="E20" si="15">$J$4</f>
        <v>0.625</v>
      </c>
      <c r="F20" s="9">
        <v>24631.45</v>
      </c>
    </row>
    <row r="21" spans="1:6" x14ac:dyDescent="0.25">
      <c r="A21" s="6">
        <f t="shared" si="2"/>
        <v>33</v>
      </c>
      <c r="B21" s="7" t="s">
        <v>6</v>
      </c>
      <c r="C21" s="7" t="s">
        <v>9</v>
      </c>
      <c r="D21" s="30">
        <f>D19</f>
        <v>46014</v>
      </c>
      <c r="E21" s="31">
        <f t="shared" ref="E21" si="16">$J$3</f>
        <v>0.60416666666666663</v>
      </c>
      <c r="F21" s="8">
        <v>24620.7</v>
      </c>
    </row>
    <row r="22" spans="1:6" x14ac:dyDescent="0.25">
      <c r="A22" s="4">
        <f t="shared" si="2"/>
        <v>32</v>
      </c>
      <c r="B22" s="5" t="s">
        <v>8</v>
      </c>
      <c r="C22" s="5" t="s">
        <v>7</v>
      </c>
      <c r="D22" s="10">
        <f>D18-7</f>
        <v>46007</v>
      </c>
      <c r="E22" s="11">
        <f t="shared" ref="E22" si="17">$J$4</f>
        <v>0.625</v>
      </c>
      <c r="F22" s="9">
        <v>25126.25</v>
      </c>
    </row>
    <row r="23" spans="1:6" x14ac:dyDescent="0.25">
      <c r="A23" s="6">
        <f t="shared" si="2"/>
        <v>32</v>
      </c>
      <c r="B23" s="7" t="s">
        <v>6</v>
      </c>
      <c r="C23" s="7" t="s">
        <v>7</v>
      </c>
      <c r="D23" s="30">
        <f>D19-7</f>
        <v>46007</v>
      </c>
      <c r="E23" s="31">
        <f t="shared" ref="E23" si="18">$J$3</f>
        <v>0.60416666666666663</v>
      </c>
      <c r="F23" s="8">
        <v>25167.4</v>
      </c>
    </row>
    <row r="24" spans="1:6" x14ac:dyDescent="0.25">
      <c r="A24" s="4">
        <f t="shared" si="2"/>
        <v>31</v>
      </c>
      <c r="B24" s="5" t="s">
        <v>8</v>
      </c>
      <c r="C24" s="5" t="s">
        <v>9</v>
      </c>
      <c r="D24" s="10">
        <f>D22</f>
        <v>46007</v>
      </c>
      <c r="E24" s="11">
        <f t="shared" ref="E24" si="19">$J$4</f>
        <v>0.625</v>
      </c>
      <c r="F24" s="9">
        <v>25126.25</v>
      </c>
    </row>
    <row r="25" spans="1:6" x14ac:dyDescent="0.25">
      <c r="A25" s="6">
        <f t="shared" si="2"/>
        <v>31</v>
      </c>
      <c r="B25" s="7" t="s">
        <v>6</v>
      </c>
      <c r="C25" s="7" t="s">
        <v>9</v>
      </c>
      <c r="D25" s="30">
        <f>D23</f>
        <v>46007</v>
      </c>
      <c r="E25" s="31">
        <f t="shared" ref="E25" si="20">$J$3</f>
        <v>0.60416666666666663</v>
      </c>
      <c r="F25" s="8">
        <v>25167.4</v>
      </c>
    </row>
    <row r="26" spans="1:6" x14ac:dyDescent="0.25">
      <c r="A26" s="4">
        <f t="shared" si="2"/>
        <v>30</v>
      </c>
      <c r="B26" s="5" t="s">
        <v>8</v>
      </c>
      <c r="C26" s="5" t="s">
        <v>7</v>
      </c>
      <c r="D26" s="10">
        <f>D22-7</f>
        <v>46000</v>
      </c>
      <c r="E26" s="11">
        <f t="shared" ref="E26" si="21">$J$4</f>
        <v>0.625</v>
      </c>
      <c r="F26" s="9">
        <v>25170.9</v>
      </c>
    </row>
    <row r="27" spans="1:6" x14ac:dyDescent="0.25">
      <c r="A27" s="6">
        <f t="shared" si="2"/>
        <v>30</v>
      </c>
      <c r="B27" s="7" t="s">
        <v>6</v>
      </c>
      <c r="C27" s="7" t="s">
        <v>7</v>
      </c>
      <c r="D27" s="30">
        <f>D23-7</f>
        <v>46000</v>
      </c>
      <c r="E27" s="31">
        <f t="shared" ref="E27" si="22">$J$3</f>
        <v>0.60416666666666663</v>
      </c>
      <c r="F27" s="8">
        <v>25154.400000000001</v>
      </c>
    </row>
    <row r="28" spans="1:6" x14ac:dyDescent="0.25">
      <c r="A28" s="4">
        <f t="shared" si="2"/>
        <v>29</v>
      </c>
      <c r="B28" s="5" t="s">
        <v>8</v>
      </c>
      <c r="C28" s="5" t="s">
        <v>9</v>
      </c>
      <c r="D28" s="10">
        <f>D26</f>
        <v>46000</v>
      </c>
      <c r="E28" s="11">
        <f t="shared" ref="E28" si="23">$J$4</f>
        <v>0.625</v>
      </c>
      <c r="F28" s="9">
        <v>25170.9</v>
      </c>
    </row>
    <row r="29" spans="1:6" x14ac:dyDescent="0.25">
      <c r="A29" s="6">
        <f t="shared" si="2"/>
        <v>29</v>
      </c>
      <c r="B29" s="7" t="s">
        <v>6</v>
      </c>
      <c r="C29" s="7" t="s">
        <v>9</v>
      </c>
      <c r="D29" s="30">
        <f>D27</f>
        <v>46000</v>
      </c>
      <c r="E29" s="31">
        <f t="shared" ref="E29" si="24">$J$3</f>
        <v>0.60416666666666663</v>
      </c>
      <c r="F29" s="8">
        <v>25154.400000000001</v>
      </c>
    </row>
    <row r="30" spans="1:6" x14ac:dyDescent="0.25">
      <c r="A30" s="4">
        <f t="shared" si="2"/>
        <v>28</v>
      </c>
      <c r="B30" s="5" t="s">
        <v>8</v>
      </c>
      <c r="C30" s="5" t="s">
        <v>7</v>
      </c>
      <c r="D30" s="10">
        <f>D26-7</f>
        <v>45993</v>
      </c>
      <c r="E30" s="11">
        <f t="shared" ref="E30" si="25">$J$4</f>
        <v>0.625</v>
      </c>
      <c r="F30" s="9">
        <v>25833.3</v>
      </c>
    </row>
    <row r="31" spans="1:6" x14ac:dyDescent="0.25">
      <c r="A31" s="6">
        <f t="shared" si="2"/>
        <v>28</v>
      </c>
      <c r="B31" s="7" t="s">
        <v>6</v>
      </c>
      <c r="C31" s="7" t="s">
        <v>7</v>
      </c>
      <c r="D31" s="30">
        <f>D27-7</f>
        <v>45993</v>
      </c>
      <c r="E31" s="31">
        <f t="shared" ref="E31" si="26">$J$3</f>
        <v>0.60416666666666663</v>
      </c>
      <c r="F31" s="8">
        <v>25859.8</v>
      </c>
    </row>
    <row r="32" spans="1:6" x14ac:dyDescent="0.25">
      <c r="A32" s="4">
        <f t="shared" si="2"/>
        <v>27</v>
      </c>
      <c r="B32" s="5" t="s">
        <v>8</v>
      </c>
      <c r="C32" s="5" t="s">
        <v>9</v>
      </c>
      <c r="D32" s="10">
        <f>D30</f>
        <v>45993</v>
      </c>
      <c r="E32" s="11">
        <f t="shared" ref="E32" si="27">$J$4</f>
        <v>0.625</v>
      </c>
      <c r="F32" s="9">
        <v>25833.3</v>
      </c>
    </row>
    <row r="33" spans="1:6" x14ac:dyDescent="0.25">
      <c r="A33" s="6">
        <f t="shared" si="2"/>
        <v>27</v>
      </c>
      <c r="B33" s="7" t="s">
        <v>6</v>
      </c>
      <c r="C33" s="7" t="s">
        <v>9</v>
      </c>
      <c r="D33" s="30">
        <f>D31</f>
        <v>45993</v>
      </c>
      <c r="E33" s="31">
        <f t="shared" ref="E33" si="28">$J$3</f>
        <v>0.60416666666666663</v>
      </c>
      <c r="F33" s="8">
        <v>25859.8</v>
      </c>
    </row>
    <row r="34" spans="1:6" x14ac:dyDescent="0.25">
      <c r="A34" s="4">
        <f t="shared" si="2"/>
        <v>26</v>
      </c>
      <c r="B34" s="5" t="s">
        <v>8</v>
      </c>
      <c r="C34" s="5" t="s">
        <v>7</v>
      </c>
      <c r="D34" s="10">
        <f>D30-7</f>
        <v>45986</v>
      </c>
      <c r="E34" s="11">
        <f t="shared" ref="E34" si="29">$J$4</f>
        <v>0.625</v>
      </c>
      <c r="F34" s="9">
        <v>25885.599999999999</v>
      </c>
    </row>
    <row r="35" spans="1:6" x14ac:dyDescent="0.25">
      <c r="A35" s="6">
        <f t="shared" si="2"/>
        <v>26</v>
      </c>
      <c r="B35" s="7" t="s">
        <v>6</v>
      </c>
      <c r="C35" s="7" t="s">
        <v>7</v>
      </c>
      <c r="D35" s="30">
        <f>D31-7</f>
        <v>45986</v>
      </c>
      <c r="E35" s="31">
        <f t="shared" ref="E35" si="30">$J$3</f>
        <v>0.60416666666666663</v>
      </c>
      <c r="F35" s="8">
        <v>25835.05</v>
      </c>
    </row>
    <row r="36" spans="1:6" x14ac:dyDescent="0.25">
      <c r="A36" s="4">
        <f t="shared" si="2"/>
        <v>25</v>
      </c>
      <c r="B36" s="5" t="s">
        <v>8</v>
      </c>
      <c r="C36" s="5" t="s">
        <v>9</v>
      </c>
      <c r="D36" s="10">
        <f>D34</f>
        <v>45986</v>
      </c>
      <c r="E36" s="11">
        <f t="shared" ref="E36" si="31">$J$4</f>
        <v>0.625</v>
      </c>
      <c r="F36" s="9">
        <v>25885.599999999999</v>
      </c>
    </row>
    <row r="37" spans="1:6" x14ac:dyDescent="0.25">
      <c r="A37" s="6">
        <f t="shared" si="2"/>
        <v>25</v>
      </c>
      <c r="B37" s="7" t="s">
        <v>6</v>
      </c>
      <c r="C37" s="7" t="s">
        <v>9</v>
      </c>
      <c r="D37" s="30">
        <f>D35</f>
        <v>45986</v>
      </c>
      <c r="E37" s="31">
        <f t="shared" ref="E37" si="32">$J$3</f>
        <v>0.60416666666666663</v>
      </c>
      <c r="F37" s="8">
        <v>25835.05</v>
      </c>
    </row>
    <row r="38" spans="1:6" x14ac:dyDescent="0.25">
      <c r="A38" s="4">
        <f t="shared" si="2"/>
        <v>24</v>
      </c>
      <c r="B38" s="5" t="s">
        <v>8</v>
      </c>
      <c r="C38" s="5" t="s">
        <v>7</v>
      </c>
      <c r="D38" s="10">
        <f>D34-7</f>
        <v>45979</v>
      </c>
      <c r="E38" s="11">
        <f t="shared" ref="E38" si="33">$J$4</f>
        <v>0.625</v>
      </c>
      <c r="F38" s="9">
        <v>25608.7</v>
      </c>
    </row>
    <row r="39" spans="1:6" x14ac:dyDescent="0.25">
      <c r="A39" s="6">
        <f t="shared" si="2"/>
        <v>24</v>
      </c>
      <c r="B39" s="7" t="s">
        <v>6</v>
      </c>
      <c r="C39" s="7" t="s">
        <v>7</v>
      </c>
      <c r="D39" s="30">
        <f>D35-7</f>
        <v>45979</v>
      </c>
      <c r="E39" s="31">
        <f t="shared" ref="E39" si="34">$J$3</f>
        <v>0.60416666666666663</v>
      </c>
      <c r="F39" s="8">
        <v>25618.6</v>
      </c>
    </row>
    <row r="40" spans="1:6" x14ac:dyDescent="0.25">
      <c r="A40" s="4">
        <f t="shared" si="2"/>
        <v>23</v>
      </c>
      <c r="B40" s="5" t="s">
        <v>8</v>
      </c>
      <c r="C40" s="5" t="s">
        <v>9</v>
      </c>
      <c r="D40" s="10">
        <f>D38</f>
        <v>45979</v>
      </c>
      <c r="E40" s="11">
        <f t="shared" ref="E40" si="35">$J$4</f>
        <v>0.625</v>
      </c>
      <c r="F40" s="9">
        <v>25608.7</v>
      </c>
    </row>
    <row r="41" spans="1:6" x14ac:dyDescent="0.25">
      <c r="A41" s="6">
        <f t="shared" si="2"/>
        <v>23</v>
      </c>
      <c r="B41" s="7" t="s">
        <v>6</v>
      </c>
      <c r="C41" s="7" t="s">
        <v>9</v>
      </c>
      <c r="D41" s="30">
        <f>D39</f>
        <v>45979</v>
      </c>
      <c r="E41" s="31">
        <f t="shared" ref="E41" si="36">$J$3</f>
        <v>0.60416666666666663</v>
      </c>
      <c r="F41" s="8">
        <v>25618.6</v>
      </c>
    </row>
    <row r="42" spans="1:6" x14ac:dyDescent="0.25">
      <c r="A42" s="4">
        <f t="shared" si="2"/>
        <v>22</v>
      </c>
      <c r="B42" s="5" t="s">
        <v>8</v>
      </c>
      <c r="C42" s="5" t="s">
        <v>7</v>
      </c>
      <c r="D42" s="10">
        <f>D38-7</f>
        <v>45972</v>
      </c>
      <c r="E42" s="11">
        <f t="shared" ref="E42" si="37">$J$4</f>
        <v>0.625</v>
      </c>
      <c r="F42" s="9">
        <v>25555.55</v>
      </c>
    </row>
    <row r="43" spans="1:6" x14ac:dyDescent="0.25">
      <c r="A43" s="6">
        <f t="shared" si="2"/>
        <v>22</v>
      </c>
      <c r="B43" s="7" t="s">
        <v>6</v>
      </c>
      <c r="C43" s="7" t="s">
        <v>7</v>
      </c>
      <c r="D43" s="30">
        <f>D39-7</f>
        <v>45972</v>
      </c>
      <c r="E43" s="31">
        <f t="shared" ref="E43" si="38">$J$3</f>
        <v>0.60416666666666663</v>
      </c>
      <c r="F43" s="8">
        <v>25515.1</v>
      </c>
    </row>
    <row r="44" spans="1:6" x14ac:dyDescent="0.25">
      <c r="A44" s="4">
        <f t="shared" si="2"/>
        <v>21</v>
      </c>
      <c r="B44" s="5" t="s">
        <v>8</v>
      </c>
      <c r="C44" s="5" t="s">
        <v>9</v>
      </c>
      <c r="D44" s="10">
        <f>D42</f>
        <v>45972</v>
      </c>
      <c r="E44" s="11">
        <f t="shared" ref="E44" si="39">$J$4</f>
        <v>0.625</v>
      </c>
      <c r="F44" s="9">
        <v>25490.1</v>
      </c>
    </row>
    <row r="45" spans="1:6" x14ac:dyDescent="0.25">
      <c r="A45" s="6">
        <f t="shared" si="2"/>
        <v>21</v>
      </c>
      <c r="B45" s="7" t="s">
        <v>6</v>
      </c>
      <c r="C45" s="7" t="s">
        <v>9</v>
      </c>
      <c r="D45" s="30">
        <f>D43</f>
        <v>45972</v>
      </c>
      <c r="E45" s="31">
        <f t="shared" ref="E45" si="40">$J$3</f>
        <v>0.60416666666666663</v>
      </c>
      <c r="F45" s="8">
        <v>25481.65</v>
      </c>
    </row>
    <row r="46" spans="1:6" x14ac:dyDescent="0.25">
      <c r="A46" s="4">
        <f t="shared" si="2"/>
        <v>20</v>
      </c>
      <c r="B46" s="5" t="s">
        <v>8</v>
      </c>
      <c r="C46" s="5" t="s">
        <v>7</v>
      </c>
      <c r="D46" s="10">
        <f>D42-7</f>
        <v>45965</v>
      </c>
      <c r="E46" s="11">
        <f t="shared" ref="E46" si="41">$J$4</f>
        <v>0.625</v>
      </c>
      <c r="F46" s="9">
        <v>25605.9</v>
      </c>
    </row>
    <row r="47" spans="1:6" x14ac:dyDescent="0.25">
      <c r="A47" s="6">
        <f t="shared" si="2"/>
        <v>20</v>
      </c>
      <c r="B47" s="7" t="s">
        <v>6</v>
      </c>
      <c r="C47" s="7" t="s">
        <v>7</v>
      </c>
      <c r="D47" s="30">
        <f>D43-7</f>
        <v>45965</v>
      </c>
      <c r="E47" s="31">
        <f t="shared" ref="E47" si="42">$J$3</f>
        <v>0.60416666666666663</v>
      </c>
      <c r="F47" s="8">
        <v>25590.35</v>
      </c>
    </row>
    <row r="48" spans="1:6" x14ac:dyDescent="0.25">
      <c r="A48" s="4">
        <f t="shared" si="2"/>
        <v>19</v>
      </c>
      <c r="B48" s="5" t="s">
        <v>8</v>
      </c>
      <c r="C48" s="5" t="s">
        <v>9</v>
      </c>
      <c r="D48" s="10">
        <f>D46</f>
        <v>45965</v>
      </c>
      <c r="E48" s="11">
        <f t="shared" ref="E48" si="43">$J$4</f>
        <v>0.625</v>
      </c>
      <c r="F48" s="9">
        <v>25691.3</v>
      </c>
    </row>
    <row r="49" spans="1:6" x14ac:dyDescent="0.25">
      <c r="A49" s="6">
        <f t="shared" si="2"/>
        <v>19</v>
      </c>
      <c r="B49" s="7" t="s">
        <v>6</v>
      </c>
      <c r="C49" s="7" t="s">
        <v>9</v>
      </c>
      <c r="D49" s="30">
        <f>D47</f>
        <v>45965</v>
      </c>
      <c r="E49" s="31">
        <f t="shared" ref="E49" si="44">$J$3</f>
        <v>0.60416666666666663</v>
      </c>
      <c r="F49" s="8">
        <v>25693.25</v>
      </c>
    </row>
    <row r="50" spans="1:6" x14ac:dyDescent="0.25">
      <c r="A50" s="4">
        <f t="shared" si="2"/>
        <v>18</v>
      </c>
      <c r="B50" s="5" t="s">
        <v>8</v>
      </c>
      <c r="C50" s="5" t="s">
        <v>7</v>
      </c>
      <c r="D50" s="10">
        <f>D46-7</f>
        <v>45958</v>
      </c>
      <c r="E50" s="11">
        <f t="shared" ref="E50" si="45">$J$4</f>
        <v>0.625</v>
      </c>
      <c r="F50" s="9">
        <v>25691.3</v>
      </c>
    </row>
    <row r="51" spans="1:6" x14ac:dyDescent="0.25">
      <c r="A51" s="6">
        <f t="shared" si="2"/>
        <v>18</v>
      </c>
      <c r="B51" s="7" t="s">
        <v>6</v>
      </c>
      <c r="C51" s="7" t="s">
        <v>7</v>
      </c>
      <c r="D51" s="30">
        <f>D47-7</f>
        <v>45958</v>
      </c>
      <c r="E51" s="31">
        <f t="shared" ref="E51" si="46">$J$3</f>
        <v>0.60416666666666663</v>
      </c>
      <c r="F51" s="8">
        <v>25693.25</v>
      </c>
    </row>
    <row r="52" spans="1:6" x14ac:dyDescent="0.25">
      <c r="A52" s="4">
        <f t="shared" si="2"/>
        <v>17</v>
      </c>
      <c r="B52" s="5" t="s">
        <v>8</v>
      </c>
      <c r="C52" s="5" t="s">
        <v>9</v>
      </c>
      <c r="D52" s="10">
        <f>D50</f>
        <v>45958</v>
      </c>
      <c r="E52" s="11">
        <f t="shared" ref="E52" si="47">$J$4</f>
        <v>0.625</v>
      </c>
      <c r="F52" s="9">
        <v>25676.55</v>
      </c>
    </row>
    <row r="53" spans="1:6" x14ac:dyDescent="0.25">
      <c r="A53" s="6">
        <f t="shared" si="2"/>
        <v>17</v>
      </c>
      <c r="B53" s="7" t="s">
        <v>6</v>
      </c>
      <c r="C53" s="7" t="s">
        <v>9</v>
      </c>
      <c r="D53" s="30">
        <f>D51</f>
        <v>45958</v>
      </c>
      <c r="E53" s="31">
        <f t="shared" ref="E53" si="48">$J$3</f>
        <v>0.60416666666666663</v>
      </c>
      <c r="F53" s="8">
        <v>25693.85</v>
      </c>
    </row>
    <row r="54" spans="1:6" x14ac:dyDescent="0.25">
      <c r="A54" s="4">
        <f t="shared" si="2"/>
        <v>16</v>
      </c>
      <c r="B54" s="5" t="s">
        <v>8</v>
      </c>
      <c r="C54" s="5" t="s">
        <v>7</v>
      </c>
      <c r="D54" s="10">
        <f>D50-7</f>
        <v>45951</v>
      </c>
      <c r="E54" s="11">
        <f t="shared" ref="E54" si="49">$J$4</f>
        <v>0.625</v>
      </c>
      <c r="F54" s="9">
        <v>25894.55</v>
      </c>
    </row>
    <row r="55" spans="1:6" x14ac:dyDescent="0.25">
      <c r="A55" s="6">
        <f t="shared" si="2"/>
        <v>16</v>
      </c>
      <c r="B55" s="7" t="s">
        <v>6</v>
      </c>
      <c r="C55" s="7" t="s">
        <v>7</v>
      </c>
      <c r="D55" s="30">
        <f>D51-7</f>
        <v>45951</v>
      </c>
      <c r="E55" s="31">
        <f t="shared" ref="E55" si="50">$J$3</f>
        <v>0.60416666666666663</v>
      </c>
      <c r="F55" s="8">
        <v>25887.4</v>
      </c>
    </row>
    <row r="56" spans="1:6" x14ac:dyDescent="0.25">
      <c r="A56" s="4">
        <f t="shared" si="2"/>
        <v>15</v>
      </c>
      <c r="B56" s="5" t="s">
        <v>8</v>
      </c>
      <c r="C56" s="5" t="s">
        <v>9</v>
      </c>
      <c r="D56" s="10">
        <f>D54</f>
        <v>45951</v>
      </c>
      <c r="E56" s="11">
        <f t="shared" ref="E56" si="51">$J$4</f>
        <v>0.625</v>
      </c>
      <c r="F56" s="9">
        <v>25878.7</v>
      </c>
    </row>
    <row r="57" spans="1:6" x14ac:dyDescent="0.25">
      <c r="A57" s="6">
        <f t="shared" si="2"/>
        <v>15</v>
      </c>
      <c r="B57" s="7" t="s">
        <v>6</v>
      </c>
      <c r="C57" s="7" t="s">
        <v>9</v>
      </c>
      <c r="D57" s="30">
        <f>D55</f>
        <v>45951</v>
      </c>
      <c r="E57" s="31">
        <f t="shared" ref="E57" si="52">$J$3</f>
        <v>0.60416666666666663</v>
      </c>
      <c r="F57" s="8">
        <v>25888.65</v>
      </c>
    </row>
    <row r="58" spans="1:6" x14ac:dyDescent="0.25">
      <c r="A58" s="4">
        <f t="shared" si="2"/>
        <v>14</v>
      </c>
      <c r="B58" s="5" t="s">
        <v>8</v>
      </c>
      <c r="C58" s="5" t="s">
        <v>7</v>
      </c>
      <c r="D58" s="10">
        <f>D54-7</f>
        <v>45944</v>
      </c>
      <c r="E58" s="11">
        <f t="shared" ref="E58" si="53">$J$4</f>
        <v>0.625</v>
      </c>
      <c r="F58" s="9">
        <v>25766.3</v>
      </c>
    </row>
    <row r="59" spans="1:6" x14ac:dyDescent="0.25">
      <c r="A59" s="6">
        <f t="shared" si="2"/>
        <v>14</v>
      </c>
      <c r="B59" s="7" t="s">
        <v>6</v>
      </c>
      <c r="C59" s="7" t="s">
        <v>7</v>
      </c>
      <c r="D59" s="30">
        <f>D55-7</f>
        <v>45944</v>
      </c>
      <c r="E59" s="31">
        <f t="shared" ref="E59" si="54">$J$3</f>
        <v>0.60416666666666663</v>
      </c>
      <c r="F59" s="8">
        <v>25886.25</v>
      </c>
    </row>
    <row r="60" spans="1:6" x14ac:dyDescent="0.25">
      <c r="A60" s="4">
        <f t="shared" si="2"/>
        <v>13</v>
      </c>
      <c r="B60" s="5" t="s">
        <v>8</v>
      </c>
      <c r="C60" s="5" t="s">
        <v>9</v>
      </c>
      <c r="D60" s="10">
        <f>D58</f>
        <v>45944</v>
      </c>
      <c r="E60" s="11">
        <f t="shared" ref="E60" si="55">$J$4</f>
        <v>0.625</v>
      </c>
      <c r="F60" s="9">
        <v>25993.95</v>
      </c>
    </row>
    <row r="61" spans="1:6" x14ac:dyDescent="0.25">
      <c r="A61" s="6">
        <f t="shared" si="2"/>
        <v>13</v>
      </c>
      <c r="B61" s="7" t="s">
        <v>6</v>
      </c>
      <c r="C61" s="7" t="s">
        <v>9</v>
      </c>
      <c r="D61" s="30">
        <f>D59</f>
        <v>45944</v>
      </c>
      <c r="E61" s="31">
        <f t="shared" ref="E61" si="56">$J$3</f>
        <v>0.60416666666666663</v>
      </c>
      <c r="F61" s="8">
        <v>26010.05</v>
      </c>
    </row>
    <row r="62" spans="1:6" x14ac:dyDescent="0.25">
      <c r="A62" s="4">
        <f t="shared" si="2"/>
        <v>12</v>
      </c>
      <c r="B62" s="5" t="s">
        <v>8</v>
      </c>
      <c r="C62" s="5" t="s">
        <v>7</v>
      </c>
      <c r="D62" s="10">
        <f>D58-7</f>
        <v>45937</v>
      </c>
      <c r="E62" s="11">
        <f t="shared" ref="E62" si="57">$J$4</f>
        <v>0.625</v>
      </c>
      <c r="F62" s="9">
        <v>25932.25</v>
      </c>
    </row>
    <row r="63" spans="1:6" x14ac:dyDescent="0.25">
      <c r="A63" s="6">
        <f t="shared" si="2"/>
        <v>12</v>
      </c>
      <c r="B63" s="7" t="s">
        <v>6</v>
      </c>
      <c r="C63" s="7" t="s">
        <v>7</v>
      </c>
      <c r="D63" s="30">
        <f>D59-7</f>
        <v>45937</v>
      </c>
      <c r="E63" s="31">
        <f t="shared" ref="E63" si="58">$J$3</f>
        <v>0.60416666666666663</v>
      </c>
      <c r="F63" s="8">
        <v>25967.85</v>
      </c>
    </row>
    <row r="64" spans="1:6" x14ac:dyDescent="0.25">
      <c r="A64" s="4">
        <f t="shared" si="2"/>
        <v>11</v>
      </c>
      <c r="B64" s="5" t="s">
        <v>8</v>
      </c>
      <c r="C64" s="5" t="s">
        <v>9</v>
      </c>
      <c r="D64" s="10">
        <f>D62</f>
        <v>45937</v>
      </c>
      <c r="E64" s="11">
        <f t="shared" ref="E64" si="59">$J$4</f>
        <v>0.625</v>
      </c>
      <c r="F64" s="9">
        <v>25932.25</v>
      </c>
    </row>
    <row r="65" spans="1:6" x14ac:dyDescent="0.25">
      <c r="A65" s="6">
        <f t="shared" si="2"/>
        <v>11</v>
      </c>
      <c r="B65" s="7" t="s">
        <v>6</v>
      </c>
      <c r="C65" s="7" t="s">
        <v>9</v>
      </c>
      <c r="D65" s="30">
        <f>D63</f>
        <v>45937</v>
      </c>
      <c r="E65" s="31">
        <f t="shared" ref="E65" si="60">$J$3</f>
        <v>0.60416666666666663</v>
      </c>
      <c r="F65" s="8">
        <v>25967.85</v>
      </c>
    </row>
    <row r="66" spans="1:6" x14ac:dyDescent="0.25">
      <c r="A66" s="4">
        <f t="shared" si="2"/>
        <v>10</v>
      </c>
      <c r="B66" s="5" t="s">
        <v>8</v>
      </c>
      <c r="C66" s="5" t="s">
        <v>7</v>
      </c>
      <c r="D66" s="10">
        <f>D62-7</f>
        <v>45930</v>
      </c>
      <c r="E66" s="11">
        <f t="shared" ref="E66" si="61">$J$4</f>
        <v>0.625</v>
      </c>
      <c r="F66" s="9">
        <v>25942.400000000001</v>
      </c>
    </row>
    <row r="67" spans="1:6" x14ac:dyDescent="0.25">
      <c r="A67" s="6">
        <f t="shared" si="2"/>
        <v>10</v>
      </c>
      <c r="B67" s="7" t="s">
        <v>6</v>
      </c>
      <c r="C67" s="7" t="s">
        <v>7</v>
      </c>
      <c r="D67" s="30">
        <f>D63-7</f>
        <v>45930</v>
      </c>
      <c r="E67" s="31">
        <f t="shared" ref="E67" si="62">$J$3</f>
        <v>0.60416666666666663</v>
      </c>
      <c r="F67" s="8">
        <v>25923.200000000001</v>
      </c>
    </row>
    <row r="68" spans="1:6" x14ac:dyDescent="0.25">
      <c r="A68" s="4">
        <f t="shared" si="2"/>
        <v>9</v>
      </c>
      <c r="B68" s="5" t="s">
        <v>8</v>
      </c>
      <c r="C68" s="5" t="s">
        <v>9</v>
      </c>
      <c r="D68" s="10">
        <f>D66</f>
        <v>45930</v>
      </c>
      <c r="E68" s="11">
        <f t="shared" ref="E68" si="63">$J$4</f>
        <v>0.625</v>
      </c>
      <c r="F68" s="9">
        <v>26054.85</v>
      </c>
    </row>
    <row r="69" spans="1:6" x14ac:dyDescent="0.25">
      <c r="A69" s="6">
        <f t="shared" si="2"/>
        <v>9</v>
      </c>
      <c r="B69" s="7" t="s">
        <v>6</v>
      </c>
      <c r="C69" s="7" t="s">
        <v>9</v>
      </c>
      <c r="D69" s="30">
        <f>D67</f>
        <v>45930</v>
      </c>
      <c r="E69" s="31">
        <f t="shared" ref="E69" si="64">$J$3</f>
        <v>0.60416666666666663</v>
      </c>
      <c r="F69" s="8">
        <v>26052.15</v>
      </c>
    </row>
    <row r="70" spans="1:6" x14ac:dyDescent="0.25">
      <c r="A70" s="4">
        <f t="shared" ref="A70:A85" si="65">A68-1</f>
        <v>8</v>
      </c>
      <c r="B70" s="5" t="s">
        <v>8</v>
      </c>
      <c r="C70" s="5" t="s">
        <v>7</v>
      </c>
      <c r="D70" s="10">
        <f>D66-7</f>
        <v>45923</v>
      </c>
      <c r="E70" s="11">
        <f t="shared" ref="E70" si="66">$J$4</f>
        <v>0.625</v>
      </c>
      <c r="F70" s="9">
        <v>26208.35</v>
      </c>
    </row>
    <row r="71" spans="1:6" x14ac:dyDescent="0.25">
      <c r="A71" s="6">
        <f t="shared" si="65"/>
        <v>8</v>
      </c>
      <c r="B71" s="7" t="s">
        <v>6</v>
      </c>
      <c r="C71" s="7" t="s">
        <v>7</v>
      </c>
      <c r="D71" s="30">
        <f>D67-7</f>
        <v>45923</v>
      </c>
      <c r="E71" s="31">
        <f t="shared" ref="E71" si="67">$J$3</f>
        <v>0.60416666666666663</v>
      </c>
      <c r="F71" s="8">
        <v>26187.200000000001</v>
      </c>
    </row>
    <row r="72" spans="1:6" x14ac:dyDescent="0.25">
      <c r="A72" s="4">
        <f t="shared" si="65"/>
        <v>7</v>
      </c>
      <c r="B72" s="5" t="s">
        <v>8</v>
      </c>
      <c r="C72" s="5" t="s">
        <v>9</v>
      </c>
      <c r="D72" s="10">
        <f>D70</f>
        <v>45923</v>
      </c>
      <c r="E72" s="11">
        <f t="shared" ref="E72" si="68">$J$4</f>
        <v>0.625</v>
      </c>
      <c r="F72" s="9">
        <v>26070.35</v>
      </c>
    </row>
    <row r="73" spans="1:6" x14ac:dyDescent="0.25">
      <c r="A73" s="6">
        <f t="shared" si="65"/>
        <v>7</v>
      </c>
      <c r="B73" s="7" t="s">
        <v>6</v>
      </c>
      <c r="C73" s="7" t="s">
        <v>9</v>
      </c>
      <c r="D73" s="30">
        <f>D71</f>
        <v>45923</v>
      </c>
      <c r="E73" s="31">
        <f t="shared" ref="E73" si="69">$J$3</f>
        <v>0.60416666666666663</v>
      </c>
      <c r="F73" s="8">
        <v>26078.5</v>
      </c>
    </row>
    <row r="74" spans="1:6" x14ac:dyDescent="0.25">
      <c r="A74" s="4">
        <f t="shared" si="65"/>
        <v>6</v>
      </c>
      <c r="B74" s="5" t="s">
        <v>8</v>
      </c>
      <c r="C74" s="5" t="s">
        <v>7</v>
      </c>
      <c r="D74" s="10">
        <f>D70-7</f>
        <v>45916</v>
      </c>
      <c r="E74" s="11">
        <f t="shared" ref="E74" si="70">$J$4</f>
        <v>0.625</v>
      </c>
      <c r="F74" s="9">
        <v>26039.05</v>
      </c>
    </row>
    <row r="75" spans="1:6" x14ac:dyDescent="0.25">
      <c r="A75" s="6">
        <f t="shared" si="65"/>
        <v>6</v>
      </c>
      <c r="B75" s="7" t="s">
        <v>6</v>
      </c>
      <c r="C75" s="7" t="s">
        <v>7</v>
      </c>
      <c r="D75" s="30">
        <f>D71-7</f>
        <v>45916</v>
      </c>
      <c r="E75" s="31">
        <f t="shared" ref="E75" si="71">$J$3</f>
        <v>0.60416666666666663</v>
      </c>
      <c r="F75" s="8">
        <v>25977.200000000001</v>
      </c>
    </row>
    <row r="76" spans="1:6" x14ac:dyDescent="0.25">
      <c r="A76" s="4">
        <f t="shared" si="65"/>
        <v>5</v>
      </c>
      <c r="B76" s="5" t="s">
        <v>8</v>
      </c>
      <c r="C76" s="5" t="s">
        <v>9</v>
      </c>
      <c r="D76" s="10">
        <f>D74</f>
        <v>45916</v>
      </c>
      <c r="E76" s="11">
        <f t="shared" ref="E76" si="72">$J$4</f>
        <v>0.625</v>
      </c>
      <c r="F76" s="9">
        <v>25894.5</v>
      </c>
    </row>
    <row r="77" spans="1:6" x14ac:dyDescent="0.25">
      <c r="A77" s="6">
        <f t="shared" si="65"/>
        <v>5</v>
      </c>
      <c r="B77" s="7" t="s">
        <v>6</v>
      </c>
      <c r="C77" s="7" t="s">
        <v>9</v>
      </c>
      <c r="D77" s="30">
        <f>D75</f>
        <v>45916</v>
      </c>
      <c r="E77" s="31">
        <f t="shared" ref="E77" si="73">$J$3</f>
        <v>0.60416666666666663</v>
      </c>
      <c r="F77" s="8">
        <v>25956.9</v>
      </c>
    </row>
    <row r="78" spans="1:6" x14ac:dyDescent="0.25">
      <c r="A78" s="4">
        <f t="shared" si="65"/>
        <v>4</v>
      </c>
      <c r="B78" s="5" t="s">
        <v>8</v>
      </c>
      <c r="C78" s="5" t="s">
        <v>7</v>
      </c>
      <c r="D78" s="10">
        <f>D74-7</f>
        <v>45909</v>
      </c>
      <c r="E78" s="11">
        <f t="shared" ref="E78" si="74">$J$4</f>
        <v>0.625</v>
      </c>
      <c r="F78" s="9">
        <v>25894.5</v>
      </c>
    </row>
    <row r="79" spans="1:6" x14ac:dyDescent="0.25">
      <c r="A79" s="6">
        <f t="shared" si="65"/>
        <v>4</v>
      </c>
      <c r="B79" s="7" t="s">
        <v>6</v>
      </c>
      <c r="C79" s="7" t="s">
        <v>7</v>
      </c>
      <c r="D79" s="30">
        <f>D75-7</f>
        <v>45909</v>
      </c>
      <c r="E79" s="31">
        <f t="shared" ref="E79" si="75">$J$3</f>
        <v>0.60416666666666663</v>
      </c>
      <c r="F79" s="8">
        <v>25956.9</v>
      </c>
    </row>
    <row r="80" spans="1:6" x14ac:dyDescent="0.25">
      <c r="A80" s="4">
        <f t="shared" si="65"/>
        <v>3</v>
      </c>
      <c r="B80" s="5" t="s">
        <v>8</v>
      </c>
      <c r="C80" s="5" t="s">
        <v>9</v>
      </c>
      <c r="D80" s="10">
        <f>D78</f>
        <v>45909</v>
      </c>
      <c r="E80" s="11">
        <f t="shared" ref="E80" si="76">$J$4</f>
        <v>0.625</v>
      </c>
      <c r="F80" s="9">
        <v>25899.8</v>
      </c>
    </row>
    <row r="81" spans="1:6" x14ac:dyDescent="0.25">
      <c r="A81" s="6">
        <f t="shared" si="65"/>
        <v>3</v>
      </c>
      <c r="B81" s="7" t="s">
        <v>6</v>
      </c>
      <c r="C81" s="7" t="s">
        <v>9</v>
      </c>
      <c r="D81" s="30">
        <f>D79</f>
        <v>45909</v>
      </c>
      <c r="E81" s="31">
        <f t="shared" ref="E81" si="77">$J$3</f>
        <v>0.60416666666666663</v>
      </c>
      <c r="F81" s="8">
        <v>25883.4</v>
      </c>
    </row>
    <row r="82" spans="1:6" x14ac:dyDescent="0.25">
      <c r="A82" s="4">
        <f t="shared" si="65"/>
        <v>2</v>
      </c>
      <c r="B82" s="5" t="s">
        <v>8</v>
      </c>
      <c r="C82" s="5" t="s">
        <v>7</v>
      </c>
      <c r="D82" s="10">
        <f>D78-7</f>
        <v>45902</v>
      </c>
      <c r="E82" s="11">
        <f t="shared" ref="E82" si="78">$J$4</f>
        <v>0.625</v>
      </c>
      <c r="F82" s="9">
        <v>26191.35</v>
      </c>
    </row>
    <row r="83" spans="1:6" x14ac:dyDescent="0.25">
      <c r="A83" s="6">
        <f t="shared" si="65"/>
        <v>2</v>
      </c>
      <c r="B83" s="7" t="s">
        <v>6</v>
      </c>
      <c r="C83" s="7" t="s">
        <v>7</v>
      </c>
      <c r="D83" s="30">
        <f>D79-7</f>
        <v>45902</v>
      </c>
      <c r="E83" s="31">
        <f t="shared" ref="E83" si="79">$J$3</f>
        <v>0.60416666666666663</v>
      </c>
      <c r="F83" s="8">
        <v>26199.4</v>
      </c>
    </row>
    <row r="84" spans="1:6" x14ac:dyDescent="0.25">
      <c r="A84" s="4">
        <f t="shared" si="65"/>
        <v>1</v>
      </c>
      <c r="B84" s="5" t="s">
        <v>8</v>
      </c>
      <c r="C84" s="5" t="s">
        <v>9</v>
      </c>
      <c r="D84" s="10">
        <f>D82</f>
        <v>45902</v>
      </c>
      <c r="E84" s="11">
        <f t="shared" ref="E84" si="80">$J$4</f>
        <v>0.625</v>
      </c>
      <c r="F84" s="9">
        <v>26185.95</v>
      </c>
    </row>
    <row r="85" spans="1:6" x14ac:dyDescent="0.25">
      <c r="A85" s="6">
        <f t="shared" si="65"/>
        <v>1</v>
      </c>
      <c r="B85" s="7" t="s">
        <v>6</v>
      </c>
      <c r="C85" s="7" t="s">
        <v>9</v>
      </c>
      <c r="D85" s="30">
        <f>D83</f>
        <v>45902</v>
      </c>
      <c r="E85" s="31">
        <f t="shared" ref="E85" si="81">$J$3</f>
        <v>0.60416666666666663</v>
      </c>
      <c r="F85" s="8">
        <v>26211.5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8B7E-2AF6-4482-B43D-15129FCAD6E8}">
  <dimension ref="A1:J131"/>
  <sheetViews>
    <sheetView zoomScale="130" zoomScaleNormal="130" workbookViewId="0">
      <selection activeCell="A2" sqref="A2:F131"/>
    </sheetView>
  </sheetViews>
  <sheetFormatPr defaultRowHeight="15" x14ac:dyDescent="0.25"/>
  <cols>
    <col min="2" max="2" width="5.5703125" bestFit="1" customWidth="1"/>
    <col min="3" max="3" width="8.140625" bestFit="1" customWidth="1"/>
    <col min="4" max="4" width="20.7109375" customWidth="1"/>
    <col min="5" max="5" width="10.85546875" customWidth="1"/>
    <col min="6" max="6" width="19" customWidth="1"/>
    <col min="8" max="8" width="13.5703125" customWidth="1"/>
  </cols>
  <sheetData>
    <row r="1" spans="1:9" ht="15.75" thickBo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H1" s="22" t="s">
        <v>3</v>
      </c>
      <c r="I1" s="22" t="s">
        <v>4</v>
      </c>
    </row>
    <row r="2" spans="1:9" ht="15.75" thickBot="1" x14ac:dyDescent="0.3">
      <c r="A2" s="12">
        <v>65</v>
      </c>
      <c r="B2" s="13" t="s">
        <v>8</v>
      </c>
      <c r="C2" s="13" t="s">
        <v>7</v>
      </c>
      <c r="D2" s="23">
        <v>46009</v>
      </c>
      <c r="E2" s="24">
        <v>0.5229166666666667</v>
      </c>
      <c r="F2" s="25">
        <v>25888.05</v>
      </c>
      <c r="H2" s="23">
        <v>46009</v>
      </c>
      <c r="I2" s="24">
        <v>0.5229166666666667</v>
      </c>
    </row>
    <row r="3" spans="1:9" ht="15.75" thickBot="1" x14ac:dyDescent="0.3">
      <c r="A3" s="14">
        <v>65</v>
      </c>
      <c r="B3" s="15" t="s">
        <v>6</v>
      </c>
      <c r="C3" s="15" t="s">
        <v>7</v>
      </c>
      <c r="D3" s="23">
        <v>46009</v>
      </c>
      <c r="E3" s="24">
        <v>0.52083333333333337</v>
      </c>
      <c r="F3" s="26">
        <v>25880.15</v>
      </c>
      <c r="H3" s="23">
        <v>46009</v>
      </c>
      <c r="I3" s="24">
        <v>0.52083333333333337</v>
      </c>
    </row>
    <row r="4" spans="1:9" ht="15.75" thickBot="1" x14ac:dyDescent="0.3">
      <c r="A4" s="16">
        <f>A2-1</f>
        <v>64</v>
      </c>
      <c r="B4" s="17" t="s">
        <v>8</v>
      </c>
      <c r="C4" s="17" t="s">
        <v>9</v>
      </c>
      <c r="D4" s="23">
        <v>46008</v>
      </c>
      <c r="E4" s="24">
        <v>0.54236111111111107</v>
      </c>
      <c r="F4" s="20">
        <v>25779.599999999999</v>
      </c>
      <c r="H4" s="23">
        <v>46008</v>
      </c>
      <c r="I4" s="24">
        <v>0.54236111111111107</v>
      </c>
    </row>
    <row r="5" spans="1:9" ht="15.75" thickBot="1" x14ac:dyDescent="0.3">
      <c r="A5" s="18">
        <f>A3-1</f>
        <v>64</v>
      </c>
      <c r="B5" s="19" t="s">
        <v>6</v>
      </c>
      <c r="C5" s="19" t="s">
        <v>9</v>
      </c>
      <c r="D5" s="23">
        <v>46008</v>
      </c>
      <c r="E5" s="24">
        <v>0.53819444444444442</v>
      </c>
      <c r="F5" s="27">
        <v>25787.85</v>
      </c>
      <c r="H5" s="23">
        <v>46008</v>
      </c>
      <c r="I5" s="24">
        <v>0.53819444444444442</v>
      </c>
    </row>
    <row r="6" spans="1:9" ht="15.75" thickBot="1" x14ac:dyDescent="0.3">
      <c r="A6" s="12">
        <f>A4-1</f>
        <v>63</v>
      </c>
      <c r="B6" s="13" t="s">
        <v>8</v>
      </c>
      <c r="C6" s="13" t="s">
        <v>9</v>
      </c>
      <c r="D6" s="23">
        <v>46008</v>
      </c>
      <c r="E6" s="24">
        <v>0.51944444444444449</v>
      </c>
      <c r="F6" s="25">
        <v>25788.75</v>
      </c>
      <c r="H6" s="23">
        <v>46008</v>
      </c>
      <c r="I6" s="24">
        <v>0.51944444444444449</v>
      </c>
    </row>
    <row r="7" spans="1:9" ht="15.75" thickBot="1" x14ac:dyDescent="0.3">
      <c r="A7" s="14">
        <f>A5-1</f>
        <v>63</v>
      </c>
      <c r="B7" s="15" t="s">
        <v>6</v>
      </c>
      <c r="C7" s="15" t="s">
        <v>9</v>
      </c>
      <c r="D7" s="23">
        <v>46008</v>
      </c>
      <c r="E7" s="24">
        <v>0.50347222222222221</v>
      </c>
      <c r="F7" s="26">
        <v>25797.599999999999</v>
      </c>
      <c r="H7" s="23">
        <v>46008</v>
      </c>
      <c r="I7" s="24">
        <v>0.50347222222222221</v>
      </c>
    </row>
    <row r="8" spans="1:9" ht="15.75" thickBot="1" x14ac:dyDescent="0.3">
      <c r="A8" s="16">
        <f t="shared" ref="A8:A71" si="0">A6-1</f>
        <v>62</v>
      </c>
      <c r="B8" s="17" t="s">
        <v>8</v>
      </c>
      <c r="C8" s="17" t="s">
        <v>9</v>
      </c>
      <c r="D8" s="23">
        <v>46008</v>
      </c>
      <c r="E8" s="24">
        <v>0.50069444444444444</v>
      </c>
      <c r="F8" s="20">
        <v>25805.45</v>
      </c>
      <c r="H8" s="23">
        <v>46008</v>
      </c>
      <c r="I8" s="24">
        <v>0.50069444444444444</v>
      </c>
    </row>
    <row r="9" spans="1:9" ht="15.75" thickBot="1" x14ac:dyDescent="0.3">
      <c r="A9" s="18">
        <f t="shared" si="0"/>
        <v>62</v>
      </c>
      <c r="B9" s="19" t="s">
        <v>6</v>
      </c>
      <c r="C9" s="19" t="s">
        <v>9</v>
      </c>
      <c r="D9" s="23">
        <v>46008</v>
      </c>
      <c r="E9" s="24">
        <v>0.47916666666666669</v>
      </c>
      <c r="F9" s="27">
        <v>25815.15</v>
      </c>
      <c r="H9" s="23">
        <v>46008</v>
      </c>
      <c r="I9" s="24">
        <v>0.47916666666666669</v>
      </c>
    </row>
    <row r="10" spans="1:9" ht="15.75" thickBot="1" x14ac:dyDescent="0.3">
      <c r="A10" s="12">
        <f t="shared" si="0"/>
        <v>61</v>
      </c>
      <c r="B10" s="13" t="s">
        <v>8</v>
      </c>
      <c r="C10" s="13" t="s">
        <v>9</v>
      </c>
      <c r="D10" s="23">
        <v>46007</v>
      </c>
      <c r="E10" s="24">
        <v>0.48333333333333334</v>
      </c>
      <c r="F10" s="25">
        <v>25882.55</v>
      </c>
      <c r="H10" s="23">
        <v>46007</v>
      </c>
      <c r="I10" s="24">
        <v>0.48333333333333334</v>
      </c>
    </row>
    <row r="11" spans="1:9" ht="15.75" thickBot="1" x14ac:dyDescent="0.3">
      <c r="A11" s="14">
        <f t="shared" si="0"/>
        <v>61</v>
      </c>
      <c r="B11" s="15" t="s">
        <v>6</v>
      </c>
      <c r="C11" s="15" t="s">
        <v>9</v>
      </c>
      <c r="D11" s="23">
        <v>46007</v>
      </c>
      <c r="E11" s="24">
        <v>0.4826388888888889</v>
      </c>
      <c r="F11" s="26">
        <v>25889</v>
      </c>
      <c r="H11" s="23">
        <v>46007</v>
      </c>
      <c r="I11" s="24">
        <v>0.4826388888888889</v>
      </c>
    </row>
    <row r="12" spans="1:9" ht="15.75" thickBot="1" x14ac:dyDescent="0.3">
      <c r="A12" s="16">
        <f t="shared" si="0"/>
        <v>60</v>
      </c>
      <c r="B12" s="17" t="s">
        <v>8</v>
      </c>
      <c r="C12" s="17" t="s">
        <v>9</v>
      </c>
      <c r="D12" s="23">
        <v>46007</v>
      </c>
      <c r="E12" s="24">
        <v>0.41736111111111113</v>
      </c>
      <c r="F12" s="20">
        <v>25896.3</v>
      </c>
      <c r="H12" s="23">
        <v>46007</v>
      </c>
      <c r="I12" s="24">
        <v>0.41736111111111113</v>
      </c>
    </row>
    <row r="13" spans="1:9" ht="15.75" thickBot="1" x14ac:dyDescent="0.3">
      <c r="A13" s="18">
        <f t="shared" si="0"/>
        <v>60</v>
      </c>
      <c r="B13" s="19" t="s">
        <v>6</v>
      </c>
      <c r="C13" s="19" t="s">
        <v>9</v>
      </c>
      <c r="D13" s="23">
        <v>46007</v>
      </c>
      <c r="E13" s="24">
        <v>0.41666666666666669</v>
      </c>
      <c r="F13" s="27">
        <v>25906.05</v>
      </c>
      <c r="H13" s="23">
        <v>46007</v>
      </c>
      <c r="I13" s="24">
        <v>0.41666666666666669</v>
      </c>
    </row>
    <row r="14" spans="1:9" ht="15.75" thickBot="1" x14ac:dyDescent="0.3">
      <c r="A14" s="12">
        <f t="shared" si="0"/>
        <v>59</v>
      </c>
      <c r="B14" s="13" t="s">
        <v>8</v>
      </c>
      <c r="C14" s="13" t="s">
        <v>7</v>
      </c>
      <c r="D14" s="23">
        <v>46006</v>
      </c>
      <c r="E14" s="24">
        <v>0.54652777777777772</v>
      </c>
      <c r="F14" s="25">
        <v>26031.45</v>
      </c>
      <c r="H14" s="23">
        <v>46006</v>
      </c>
      <c r="I14" s="24">
        <v>0.54652777777777772</v>
      </c>
    </row>
    <row r="15" spans="1:9" ht="15.75" thickBot="1" x14ac:dyDescent="0.3">
      <c r="A15" s="14">
        <f t="shared" si="0"/>
        <v>59</v>
      </c>
      <c r="B15" s="15" t="s">
        <v>6</v>
      </c>
      <c r="C15" s="15" t="s">
        <v>7</v>
      </c>
      <c r="D15" s="23">
        <v>46006</v>
      </c>
      <c r="E15" s="24">
        <v>0.54513888888888884</v>
      </c>
      <c r="F15" s="26">
        <v>26023.95</v>
      </c>
      <c r="H15" s="23">
        <v>46006</v>
      </c>
      <c r="I15" s="24">
        <v>0.54513888888888884</v>
      </c>
    </row>
    <row r="16" spans="1:9" ht="15.75" thickBot="1" x14ac:dyDescent="0.3">
      <c r="A16" s="16">
        <f t="shared" si="0"/>
        <v>58</v>
      </c>
      <c r="B16" s="17" t="s">
        <v>8</v>
      </c>
      <c r="C16" s="17" t="s">
        <v>7</v>
      </c>
      <c r="D16" s="23">
        <v>46006</v>
      </c>
      <c r="E16" s="24">
        <v>0.49375000000000002</v>
      </c>
      <c r="F16" s="20">
        <v>26004.25</v>
      </c>
      <c r="H16" s="23">
        <v>46006</v>
      </c>
      <c r="I16" s="24">
        <v>0.49375000000000002</v>
      </c>
    </row>
    <row r="17" spans="1:9" ht="15.75" thickBot="1" x14ac:dyDescent="0.3">
      <c r="A17" s="18">
        <f t="shared" si="0"/>
        <v>58</v>
      </c>
      <c r="B17" s="19" t="s">
        <v>6</v>
      </c>
      <c r="C17" s="19" t="s">
        <v>7</v>
      </c>
      <c r="D17" s="23">
        <v>46006</v>
      </c>
      <c r="E17" s="24">
        <v>0.4513888888888889</v>
      </c>
      <c r="F17" s="27">
        <v>25990</v>
      </c>
      <c r="H17" s="23">
        <v>46006</v>
      </c>
      <c r="I17" s="24">
        <v>0.4513888888888889</v>
      </c>
    </row>
    <row r="18" spans="1:9" ht="15.75" thickBot="1" x14ac:dyDescent="0.3">
      <c r="A18" s="12">
        <f t="shared" si="0"/>
        <v>57</v>
      </c>
      <c r="B18" s="13" t="s">
        <v>8</v>
      </c>
      <c r="C18" s="13" t="s">
        <v>7</v>
      </c>
      <c r="D18" s="23">
        <v>46003</v>
      </c>
      <c r="E18" s="24">
        <v>0.62916666666666665</v>
      </c>
      <c r="F18" s="25">
        <v>26048.1</v>
      </c>
      <c r="H18" s="23">
        <v>46003</v>
      </c>
      <c r="I18" s="24">
        <v>0.62916666666666665</v>
      </c>
    </row>
    <row r="19" spans="1:9" ht="15.75" thickBot="1" x14ac:dyDescent="0.3">
      <c r="A19" s="14">
        <f t="shared" si="0"/>
        <v>57</v>
      </c>
      <c r="B19" s="15" t="s">
        <v>6</v>
      </c>
      <c r="C19" s="15" t="s">
        <v>7</v>
      </c>
      <c r="D19" s="23">
        <v>46003</v>
      </c>
      <c r="E19" s="24">
        <v>0.62847222222222221</v>
      </c>
      <c r="F19" s="26">
        <v>26041.15</v>
      </c>
      <c r="H19" s="23">
        <v>46003</v>
      </c>
      <c r="I19" s="24">
        <v>0.62847222222222221</v>
      </c>
    </row>
    <row r="20" spans="1:9" ht="15.75" thickBot="1" x14ac:dyDescent="0.3">
      <c r="A20" s="16">
        <f t="shared" si="0"/>
        <v>56</v>
      </c>
      <c r="B20" s="17" t="s">
        <v>8</v>
      </c>
      <c r="C20" s="17" t="s">
        <v>7</v>
      </c>
      <c r="D20" s="23">
        <v>46003</v>
      </c>
      <c r="E20" s="24">
        <v>0.58611111111111114</v>
      </c>
      <c r="F20" s="20">
        <v>26036.45</v>
      </c>
      <c r="H20" s="23">
        <v>46003</v>
      </c>
      <c r="I20" s="24">
        <v>0.58611111111111114</v>
      </c>
    </row>
    <row r="21" spans="1:9" ht="15.75" thickBot="1" x14ac:dyDescent="0.3">
      <c r="A21" s="18">
        <f t="shared" si="0"/>
        <v>56</v>
      </c>
      <c r="B21" s="19" t="s">
        <v>6</v>
      </c>
      <c r="C21" s="19" t="s">
        <v>7</v>
      </c>
      <c r="D21" s="23">
        <v>46003</v>
      </c>
      <c r="E21" s="24">
        <v>0.57638888888888884</v>
      </c>
      <c r="F21" s="27">
        <v>26030.3</v>
      </c>
      <c r="H21" s="23">
        <v>46003</v>
      </c>
      <c r="I21" s="24">
        <v>0.57638888888888884</v>
      </c>
    </row>
    <row r="22" spans="1:9" ht="15.75" thickBot="1" x14ac:dyDescent="0.3">
      <c r="A22" s="12">
        <f t="shared" si="0"/>
        <v>55</v>
      </c>
      <c r="B22" s="13" t="s">
        <v>8</v>
      </c>
      <c r="C22" s="13" t="s">
        <v>7</v>
      </c>
      <c r="D22" s="23">
        <v>46003</v>
      </c>
      <c r="E22" s="24">
        <v>0.52361111111111114</v>
      </c>
      <c r="F22" s="25">
        <v>26031.599999999999</v>
      </c>
      <c r="H22" s="23">
        <v>46003</v>
      </c>
      <c r="I22" s="24">
        <v>0.52361111111111114</v>
      </c>
    </row>
    <row r="23" spans="1:9" ht="15.75" thickBot="1" x14ac:dyDescent="0.3">
      <c r="A23" s="14">
        <f t="shared" si="0"/>
        <v>55</v>
      </c>
      <c r="B23" s="15" t="s">
        <v>6</v>
      </c>
      <c r="C23" s="15" t="s">
        <v>7</v>
      </c>
      <c r="D23" s="23">
        <v>46003</v>
      </c>
      <c r="E23" s="24">
        <v>0.52083333333333337</v>
      </c>
      <c r="F23" s="26">
        <v>26023.05</v>
      </c>
      <c r="H23" s="23">
        <v>46003</v>
      </c>
      <c r="I23" s="24">
        <v>0.52083333333333337</v>
      </c>
    </row>
    <row r="24" spans="1:9" ht="15.75" thickBot="1" x14ac:dyDescent="0.3">
      <c r="A24" s="16">
        <f t="shared" si="0"/>
        <v>54</v>
      </c>
      <c r="B24" s="17" t="s">
        <v>8</v>
      </c>
      <c r="C24" s="17" t="s">
        <v>7</v>
      </c>
      <c r="D24" s="23">
        <v>46003</v>
      </c>
      <c r="E24" s="24">
        <v>0.38541666666666669</v>
      </c>
      <c r="F24" s="20">
        <v>25989.200000000001</v>
      </c>
      <c r="H24" s="23">
        <v>46003</v>
      </c>
      <c r="I24" s="24">
        <v>0.38541666666666669</v>
      </c>
    </row>
    <row r="25" spans="1:9" ht="15.75" thickBot="1" x14ac:dyDescent="0.3">
      <c r="A25" s="18">
        <f t="shared" si="0"/>
        <v>54</v>
      </c>
      <c r="B25" s="19" t="s">
        <v>6</v>
      </c>
      <c r="C25" s="19" t="s">
        <v>7</v>
      </c>
      <c r="D25" s="23">
        <v>46002</v>
      </c>
      <c r="E25" s="24">
        <v>0.62847222222222221</v>
      </c>
      <c r="F25" s="27">
        <v>25900.05</v>
      </c>
      <c r="H25" s="23">
        <v>46002</v>
      </c>
      <c r="I25" s="24">
        <v>0.62847222222222221</v>
      </c>
    </row>
    <row r="26" spans="1:9" ht="15.75" thickBot="1" x14ac:dyDescent="0.3">
      <c r="A26" s="12">
        <f t="shared" si="0"/>
        <v>53</v>
      </c>
      <c r="B26" s="13" t="s">
        <v>8</v>
      </c>
      <c r="C26" s="13" t="s">
        <v>9</v>
      </c>
      <c r="D26" s="23">
        <v>46002</v>
      </c>
      <c r="E26" s="24">
        <v>0.40347222222222223</v>
      </c>
      <c r="F26" s="25">
        <v>25703.25</v>
      </c>
      <c r="H26" s="23">
        <v>46002</v>
      </c>
      <c r="I26" s="24">
        <v>0.40347222222222223</v>
      </c>
    </row>
    <row r="27" spans="1:9" ht="15.75" thickBot="1" x14ac:dyDescent="0.3">
      <c r="A27" s="14">
        <f t="shared" si="0"/>
        <v>53</v>
      </c>
      <c r="B27" s="15" t="s">
        <v>6</v>
      </c>
      <c r="C27" s="15" t="s">
        <v>9</v>
      </c>
      <c r="D27" s="23">
        <v>46002</v>
      </c>
      <c r="E27" s="24">
        <v>0.40277777777777779</v>
      </c>
      <c r="F27" s="26">
        <v>25719.55</v>
      </c>
      <c r="H27" s="23">
        <v>46002</v>
      </c>
      <c r="I27" s="24">
        <v>0.40277777777777779</v>
      </c>
    </row>
    <row r="28" spans="1:9" ht="15.75" thickBot="1" x14ac:dyDescent="0.3">
      <c r="A28" s="16">
        <f t="shared" si="0"/>
        <v>52</v>
      </c>
      <c r="B28" s="17" t="s">
        <v>8</v>
      </c>
      <c r="C28" s="17" t="s">
        <v>9</v>
      </c>
      <c r="D28" s="23">
        <v>46002</v>
      </c>
      <c r="E28" s="24">
        <v>0.38611111111111113</v>
      </c>
      <c r="F28" s="20">
        <v>25737.85</v>
      </c>
      <c r="H28" s="23">
        <v>46002</v>
      </c>
      <c r="I28" s="24">
        <v>0.38611111111111113</v>
      </c>
    </row>
    <row r="29" spans="1:9" ht="15.75" thickBot="1" x14ac:dyDescent="0.3">
      <c r="A29" s="18">
        <f t="shared" si="0"/>
        <v>52</v>
      </c>
      <c r="B29" s="19" t="s">
        <v>6</v>
      </c>
      <c r="C29" s="19" t="s">
        <v>9</v>
      </c>
      <c r="D29" s="23">
        <v>46001</v>
      </c>
      <c r="E29" s="24">
        <v>0.62152777777777779</v>
      </c>
      <c r="F29" s="27">
        <v>25746.9</v>
      </c>
      <c r="H29" s="23">
        <v>46001</v>
      </c>
      <c r="I29" s="24">
        <v>0.62152777777777779</v>
      </c>
    </row>
    <row r="30" spans="1:9" ht="15.75" thickBot="1" x14ac:dyDescent="0.3">
      <c r="A30" s="12">
        <f t="shared" si="0"/>
        <v>51</v>
      </c>
      <c r="B30" s="13" t="s">
        <v>8</v>
      </c>
      <c r="C30" s="13" t="s">
        <v>9</v>
      </c>
      <c r="D30" s="23">
        <v>46001</v>
      </c>
      <c r="E30" s="24">
        <v>0.48194444444444445</v>
      </c>
      <c r="F30" s="25">
        <v>25841.8</v>
      </c>
      <c r="H30" s="23">
        <v>46001</v>
      </c>
      <c r="I30" s="24">
        <v>0.48194444444444445</v>
      </c>
    </row>
    <row r="31" spans="1:9" ht="15.75" thickBot="1" x14ac:dyDescent="0.3">
      <c r="A31" s="14">
        <f t="shared" si="0"/>
        <v>51</v>
      </c>
      <c r="B31" s="15" t="s">
        <v>6</v>
      </c>
      <c r="C31" s="15" t="s">
        <v>9</v>
      </c>
      <c r="D31" s="23">
        <v>46001</v>
      </c>
      <c r="E31" s="24">
        <v>0.47916666666666669</v>
      </c>
      <c r="F31" s="26">
        <v>25852.2</v>
      </c>
      <c r="H31" s="23">
        <v>46001</v>
      </c>
      <c r="I31" s="24">
        <v>0.47916666666666669</v>
      </c>
    </row>
    <row r="32" spans="1:9" ht="15.75" thickBot="1" x14ac:dyDescent="0.3">
      <c r="A32" s="16">
        <f t="shared" si="0"/>
        <v>50</v>
      </c>
      <c r="B32" s="17" t="s">
        <v>8</v>
      </c>
      <c r="C32" s="17" t="s">
        <v>9</v>
      </c>
      <c r="D32" s="23">
        <v>45999</v>
      </c>
      <c r="E32" s="24">
        <v>0.59305555555555556</v>
      </c>
      <c r="F32" s="20">
        <v>25916</v>
      </c>
      <c r="H32" s="23">
        <v>45999</v>
      </c>
      <c r="I32" s="24">
        <v>0.59305555555555556</v>
      </c>
    </row>
    <row r="33" spans="1:9" ht="15.75" thickBot="1" x14ac:dyDescent="0.3">
      <c r="A33" s="18">
        <f t="shared" si="0"/>
        <v>50</v>
      </c>
      <c r="B33" s="19" t="s">
        <v>6</v>
      </c>
      <c r="C33" s="19" t="s">
        <v>9</v>
      </c>
      <c r="D33" s="23">
        <v>45999</v>
      </c>
      <c r="E33" s="24">
        <v>0.59027777777777779</v>
      </c>
      <c r="F33" s="27">
        <v>25925.599999999999</v>
      </c>
      <c r="H33" s="23">
        <v>45999</v>
      </c>
      <c r="I33" s="24">
        <v>0.59027777777777779</v>
      </c>
    </row>
    <row r="34" spans="1:9" ht="15.75" thickBot="1" x14ac:dyDescent="0.3">
      <c r="A34" s="12">
        <f t="shared" si="0"/>
        <v>49</v>
      </c>
      <c r="B34" s="13" t="s">
        <v>8</v>
      </c>
      <c r="C34" s="13" t="s">
        <v>9</v>
      </c>
      <c r="D34" s="23">
        <v>45999</v>
      </c>
      <c r="E34" s="24">
        <v>0.55625000000000002</v>
      </c>
      <c r="F34" s="25">
        <v>25989.3</v>
      </c>
      <c r="H34" s="23">
        <v>45999</v>
      </c>
      <c r="I34" s="24">
        <v>0.55625000000000002</v>
      </c>
    </row>
    <row r="35" spans="1:9" ht="15.75" thickBot="1" x14ac:dyDescent="0.3">
      <c r="A35" s="14">
        <f t="shared" si="0"/>
        <v>49</v>
      </c>
      <c r="B35" s="15" t="s">
        <v>6</v>
      </c>
      <c r="C35" s="15" t="s">
        <v>9</v>
      </c>
      <c r="D35" s="23">
        <v>45999</v>
      </c>
      <c r="E35" s="24">
        <v>0.55555555555555558</v>
      </c>
      <c r="F35" s="26">
        <v>26004.35</v>
      </c>
      <c r="H35" s="23">
        <v>45999</v>
      </c>
      <c r="I35" s="24">
        <v>0.55555555555555558</v>
      </c>
    </row>
    <row r="36" spans="1:9" ht="15.75" thickBot="1" x14ac:dyDescent="0.3">
      <c r="A36" s="16">
        <f t="shared" si="0"/>
        <v>48</v>
      </c>
      <c r="B36" s="17" t="s">
        <v>8</v>
      </c>
      <c r="C36" s="17" t="s">
        <v>9</v>
      </c>
      <c r="D36" s="23">
        <v>45999</v>
      </c>
      <c r="E36" s="24">
        <v>0.48749999999999999</v>
      </c>
      <c r="F36" s="20">
        <v>26053.75</v>
      </c>
      <c r="H36" s="23">
        <v>45999</v>
      </c>
      <c r="I36" s="24">
        <v>0.48749999999999999</v>
      </c>
    </row>
    <row r="37" spans="1:9" ht="15.75" thickBot="1" x14ac:dyDescent="0.3">
      <c r="A37" s="18">
        <f t="shared" si="0"/>
        <v>48</v>
      </c>
      <c r="B37" s="19" t="s">
        <v>6</v>
      </c>
      <c r="C37" s="19" t="s">
        <v>9</v>
      </c>
      <c r="D37" s="23">
        <v>45999</v>
      </c>
      <c r="E37" s="24">
        <v>0.4861111111111111</v>
      </c>
      <c r="F37" s="27">
        <v>26062.5</v>
      </c>
      <c r="H37" s="23">
        <v>45999</v>
      </c>
      <c r="I37" s="24">
        <v>0.4861111111111111</v>
      </c>
    </row>
    <row r="38" spans="1:9" ht="15.75" thickBot="1" x14ac:dyDescent="0.3">
      <c r="A38" s="12">
        <f t="shared" si="0"/>
        <v>47</v>
      </c>
      <c r="B38" s="13" t="s">
        <v>8</v>
      </c>
      <c r="C38" s="13" t="s">
        <v>7</v>
      </c>
      <c r="D38" s="23">
        <v>45996</v>
      </c>
      <c r="E38" s="24">
        <v>0.62986111111111109</v>
      </c>
      <c r="F38" s="25">
        <v>26196.05</v>
      </c>
      <c r="H38" s="23">
        <v>45996</v>
      </c>
      <c r="I38" s="24">
        <v>0.62986111111111109</v>
      </c>
    </row>
    <row r="39" spans="1:9" ht="15.75" thickBot="1" x14ac:dyDescent="0.3">
      <c r="A39" s="14">
        <f t="shared" si="0"/>
        <v>47</v>
      </c>
      <c r="B39" s="15" t="s">
        <v>6</v>
      </c>
      <c r="C39" s="15" t="s">
        <v>7</v>
      </c>
      <c r="D39" s="23">
        <v>45996</v>
      </c>
      <c r="E39" s="24">
        <v>0.62847222222222221</v>
      </c>
      <c r="F39" s="26">
        <v>26186</v>
      </c>
      <c r="H39" s="23">
        <v>45996</v>
      </c>
      <c r="I39" s="24">
        <v>0.62847222222222221</v>
      </c>
    </row>
    <row r="40" spans="1:9" ht="15.75" thickBot="1" x14ac:dyDescent="0.3">
      <c r="A40" s="16">
        <f t="shared" si="0"/>
        <v>46</v>
      </c>
      <c r="B40" s="17" t="s">
        <v>8</v>
      </c>
      <c r="C40" s="17" t="s">
        <v>7</v>
      </c>
      <c r="D40" s="23">
        <v>45996</v>
      </c>
      <c r="E40" s="24">
        <v>0.45</v>
      </c>
      <c r="F40" s="20">
        <v>26111.95</v>
      </c>
      <c r="H40" s="23">
        <v>45996</v>
      </c>
      <c r="I40" s="24">
        <v>0.45</v>
      </c>
    </row>
    <row r="41" spans="1:9" ht="15.75" thickBot="1" x14ac:dyDescent="0.3">
      <c r="A41" s="18">
        <f t="shared" si="0"/>
        <v>46</v>
      </c>
      <c r="B41" s="19" t="s">
        <v>6</v>
      </c>
      <c r="C41" s="19" t="s">
        <v>7</v>
      </c>
      <c r="D41" s="23">
        <v>45996</v>
      </c>
      <c r="E41" s="24">
        <v>0.44791666666666669</v>
      </c>
      <c r="F41" s="27">
        <v>26096.15</v>
      </c>
      <c r="H41" s="23">
        <v>45996</v>
      </c>
      <c r="I41" s="24">
        <v>0.44791666666666669</v>
      </c>
    </row>
    <row r="42" spans="1:9" ht="15.75" thickBot="1" x14ac:dyDescent="0.3">
      <c r="A42" s="12">
        <f t="shared" si="0"/>
        <v>45</v>
      </c>
      <c r="B42" s="13" t="s">
        <v>8</v>
      </c>
      <c r="C42" s="13" t="s">
        <v>7</v>
      </c>
      <c r="D42" s="23">
        <v>45996</v>
      </c>
      <c r="E42" s="24">
        <v>0.42083333333333334</v>
      </c>
      <c r="F42" s="25">
        <v>26100.3</v>
      </c>
      <c r="H42" s="23">
        <v>45996</v>
      </c>
      <c r="I42" s="24">
        <v>0.42083333333333334</v>
      </c>
    </row>
    <row r="43" spans="1:9" ht="15.75" thickBot="1" x14ac:dyDescent="0.3">
      <c r="A43" s="14">
        <f t="shared" si="0"/>
        <v>45</v>
      </c>
      <c r="B43" s="15" t="s">
        <v>6</v>
      </c>
      <c r="C43" s="15" t="s">
        <v>7</v>
      </c>
      <c r="D43" s="23">
        <v>45996</v>
      </c>
      <c r="E43" s="24">
        <v>0.4201388888888889</v>
      </c>
      <c r="F43" s="26">
        <v>26086</v>
      </c>
      <c r="H43" s="23">
        <v>45996</v>
      </c>
      <c r="I43" s="24">
        <v>0.4201388888888889</v>
      </c>
    </row>
    <row r="44" spans="1:9" ht="15.75" thickBot="1" x14ac:dyDescent="0.3">
      <c r="A44" s="16">
        <f t="shared" si="0"/>
        <v>44</v>
      </c>
      <c r="B44" s="17" t="s">
        <v>8</v>
      </c>
      <c r="C44" s="17" t="s">
        <v>9</v>
      </c>
      <c r="D44" s="23">
        <v>45995</v>
      </c>
      <c r="E44" s="24">
        <v>0.57013888888888886</v>
      </c>
      <c r="F44" s="20">
        <v>25972.75</v>
      </c>
      <c r="H44" s="23">
        <v>45995</v>
      </c>
      <c r="I44" s="24">
        <v>0.57013888888888886</v>
      </c>
    </row>
    <row r="45" spans="1:9" ht="15.75" thickBot="1" x14ac:dyDescent="0.3">
      <c r="A45" s="18">
        <f t="shared" si="0"/>
        <v>44</v>
      </c>
      <c r="B45" s="19" t="s">
        <v>6</v>
      </c>
      <c r="C45" s="19" t="s">
        <v>9</v>
      </c>
      <c r="D45" s="23">
        <v>45995</v>
      </c>
      <c r="E45" s="24">
        <v>0.5444444444444444</v>
      </c>
      <c r="F45" s="27">
        <v>25980.55</v>
      </c>
      <c r="H45" s="23">
        <v>45995</v>
      </c>
      <c r="I45" s="24">
        <v>0.5444444444444444</v>
      </c>
    </row>
    <row r="46" spans="1:9" ht="15.75" thickBot="1" x14ac:dyDescent="0.3">
      <c r="A46" s="12">
        <f t="shared" si="0"/>
        <v>43</v>
      </c>
      <c r="B46" s="13" t="s">
        <v>8</v>
      </c>
      <c r="C46" s="13" t="s">
        <v>9</v>
      </c>
      <c r="D46" s="23">
        <v>45995</v>
      </c>
      <c r="E46" s="24">
        <v>0.56666666666666665</v>
      </c>
      <c r="F46" s="25">
        <v>25988.75</v>
      </c>
      <c r="H46" s="23">
        <v>45995</v>
      </c>
      <c r="I46" s="24">
        <v>0.56666666666666665</v>
      </c>
    </row>
    <row r="47" spans="1:9" ht="15.75" thickBot="1" x14ac:dyDescent="0.3">
      <c r="A47" s="14">
        <f t="shared" si="0"/>
        <v>43</v>
      </c>
      <c r="B47" s="15" t="s">
        <v>6</v>
      </c>
      <c r="C47" s="15" t="s">
        <v>9</v>
      </c>
      <c r="D47" s="23">
        <v>45995</v>
      </c>
      <c r="E47" s="24">
        <v>0.55555555555555558</v>
      </c>
      <c r="F47" s="26">
        <v>25995.65</v>
      </c>
      <c r="H47" s="23">
        <v>45995</v>
      </c>
      <c r="I47" s="24">
        <v>0.55555555555555558</v>
      </c>
    </row>
    <row r="48" spans="1:9" ht="15.75" thickBot="1" x14ac:dyDescent="0.3">
      <c r="A48" s="16">
        <f t="shared" si="0"/>
        <v>42</v>
      </c>
      <c r="B48" s="17" t="s">
        <v>8</v>
      </c>
      <c r="C48" s="17" t="s">
        <v>9</v>
      </c>
      <c r="D48" s="23">
        <v>45995</v>
      </c>
      <c r="E48" s="24">
        <v>0.51458333333333328</v>
      </c>
      <c r="F48" s="20">
        <v>26006.95</v>
      </c>
      <c r="H48" s="23">
        <v>45995</v>
      </c>
      <c r="I48" s="24">
        <v>0.51458333333333328</v>
      </c>
    </row>
    <row r="49" spans="1:9" ht="15.75" thickBot="1" x14ac:dyDescent="0.3">
      <c r="A49" s="18">
        <f t="shared" si="0"/>
        <v>42</v>
      </c>
      <c r="B49" s="19" t="s">
        <v>6</v>
      </c>
      <c r="C49" s="19" t="s">
        <v>9</v>
      </c>
      <c r="D49" s="23">
        <v>45995</v>
      </c>
      <c r="E49" s="24">
        <v>0.51388888888888884</v>
      </c>
      <c r="F49" s="27">
        <v>26018.15</v>
      </c>
      <c r="H49" s="23">
        <v>45995</v>
      </c>
      <c r="I49" s="24">
        <v>0.51388888888888884</v>
      </c>
    </row>
    <row r="50" spans="1:9" ht="15.75" thickBot="1" x14ac:dyDescent="0.3">
      <c r="A50" s="12">
        <f t="shared" si="0"/>
        <v>41</v>
      </c>
      <c r="B50" s="13" t="s">
        <v>8</v>
      </c>
      <c r="C50" s="13" t="s">
        <v>9</v>
      </c>
      <c r="D50" s="23">
        <v>45994</v>
      </c>
      <c r="E50" s="24">
        <v>0.42152777777777778</v>
      </c>
      <c r="F50" s="25">
        <v>25899.95</v>
      </c>
      <c r="H50" s="23">
        <v>45994</v>
      </c>
      <c r="I50" s="24">
        <v>0.42152777777777778</v>
      </c>
    </row>
    <row r="51" spans="1:9" ht="15.75" thickBot="1" x14ac:dyDescent="0.3">
      <c r="A51" s="14">
        <f t="shared" si="0"/>
        <v>41</v>
      </c>
      <c r="B51" s="15" t="s">
        <v>6</v>
      </c>
      <c r="C51" s="15" t="s">
        <v>9</v>
      </c>
      <c r="D51" s="23">
        <v>45994</v>
      </c>
      <c r="E51" s="24">
        <v>0.4201388888888889</v>
      </c>
      <c r="F51" s="26">
        <v>25912.7</v>
      </c>
      <c r="H51" s="23">
        <v>45994</v>
      </c>
      <c r="I51" s="24">
        <v>0.4201388888888889</v>
      </c>
    </row>
    <row r="52" spans="1:9" ht="15.75" thickBot="1" x14ac:dyDescent="0.3">
      <c r="A52" s="16">
        <f t="shared" si="0"/>
        <v>40</v>
      </c>
      <c r="B52" s="17" t="s">
        <v>8</v>
      </c>
      <c r="C52" s="17" t="s">
        <v>9</v>
      </c>
      <c r="D52" s="23">
        <v>45994</v>
      </c>
      <c r="E52" s="24">
        <v>0.39305555555555555</v>
      </c>
      <c r="F52" s="20">
        <v>25999.5</v>
      </c>
      <c r="H52" s="23">
        <v>45994</v>
      </c>
      <c r="I52" s="24">
        <v>0.39305555555555555</v>
      </c>
    </row>
    <row r="53" spans="1:9" ht="15.75" thickBot="1" x14ac:dyDescent="0.3">
      <c r="A53" s="18">
        <f t="shared" si="0"/>
        <v>40</v>
      </c>
      <c r="B53" s="19" t="s">
        <v>6</v>
      </c>
      <c r="C53" s="19" t="s">
        <v>9</v>
      </c>
      <c r="D53" s="23">
        <v>45994</v>
      </c>
      <c r="E53" s="24">
        <v>0.3923611111111111</v>
      </c>
      <c r="F53" s="27">
        <v>26007.75</v>
      </c>
      <c r="H53" s="23">
        <v>45994</v>
      </c>
      <c r="I53" s="24">
        <v>0.3923611111111111</v>
      </c>
    </row>
    <row r="54" spans="1:9" ht="15.75" thickBot="1" x14ac:dyDescent="0.3">
      <c r="A54" s="12">
        <f t="shared" si="0"/>
        <v>39</v>
      </c>
      <c r="B54" s="13" t="s">
        <v>8</v>
      </c>
      <c r="C54" s="13" t="s">
        <v>9</v>
      </c>
      <c r="D54" s="23">
        <v>45993</v>
      </c>
      <c r="E54" s="24">
        <v>0.53819444444444442</v>
      </c>
      <c r="F54" s="25">
        <v>26042.85</v>
      </c>
      <c r="H54" s="23">
        <v>45993</v>
      </c>
      <c r="I54" s="24">
        <v>0.53819444444444442</v>
      </c>
    </row>
    <row r="55" spans="1:9" ht="15.75" thickBot="1" x14ac:dyDescent="0.3">
      <c r="A55" s="14">
        <f t="shared" si="0"/>
        <v>39</v>
      </c>
      <c r="B55" s="15" t="s">
        <v>6</v>
      </c>
      <c r="C55" s="15" t="s">
        <v>9</v>
      </c>
      <c r="D55" s="23">
        <v>45993</v>
      </c>
      <c r="E55" s="24">
        <v>0.53472222222222221</v>
      </c>
      <c r="F55" s="26">
        <v>26050.15</v>
      </c>
      <c r="H55" s="23">
        <v>45993</v>
      </c>
      <c r="I55" s="24">
        <v>0.53472222222222221</v>
      </c>
    </row>
    <row r="56" spans="1:9" ht="15.75" thickBot="1" x14ac:dyDescent="0.3">
      <c r="A56" s="16">
        <f t="shared" si="0"/>
        <v>38</v>
      </c>
      <c r="B56" s="17" t="s">
        <v>8</v>
      </c>
      <c r="C56" s="17" t="s">
        <v>7</v>
      </c>
      <c r="D56" s="23">
        <v>45992</v>
      </c>
      <c r="E56" s="24">
        <v>0.58472222222222225</v>
      </c>
      <c r="F56" s="20">
        <v>26199.1</v>
      </c>
      <c r="H56" s="23">
        <v>45992</v>
      </c>
      <c r="I56" s="24">
        <v>0.58472222222222225</v>
      </c>
    </row>
    <row r="57" spans="1:9" ht="15.75" thickBot="1" x14ac:dyDescent="0.3">
      <c r="A57" s="18">
        <f t="shared" si="0"/>
        <v>38</v>
      </c>
      <c r="B57" s="19" t="s">
        <v>6</v>
      </c>
      <c r="C57" s="19" t="s">
        <v>7</v>
      </c>
      <c r="D57" s="23">
        <v>45992</v>
      </c>
      <c r="E57" s="24">
        <v>0.57291666666666663</v>
      </c>
      <c r="F57" s="27">
        <v>26192.75</v>
      </c>
      <c r="H57" s="23">
        <v>45992</v>
      </c>
      <c r="I57" s="24">
        <v>0.57291666666666663</v>
      </c>
    </row>
    <row r="58" spans="1:9" ht="15.75" thickBot="1" x14ac:dyDescent="0.3">
      <c r="A58" s="12">
        <f t="shared" si="0"/>
        <v>37</v>
      </c>
      <c r="B58" s="13" t="s">
        <v>8</v>
      </c>
      <c r="C58" s="13" t="s">
        <v>7</v>
      </c>
      <c r="D58" s="23">
        <v>45992</v>
      </c>
      <c r="E58" s="24">
        <v>0.55486111111111114</v>
      </c>
      <c r="F58" s="25">
        <v>26194.1</v>
      </c>
      <c r="H58" s="23">
        <v>45992</v>
      </c>
      <c r="I58" s="24">
        <v>0.55486111111111114</v>
      </c>
    </row>
    <row r="59" spans="1:9" ht="15.75" thickBot="1" x14ac:dyDescent="0.3">
      <c r="A59" s="14">
        <f t="shared" si="0"/>
        <v>37</v>
      </c>
      <c r="B59" s="15" t="s">
        <v>6</v>
      </c>
      <c r="C59" s="15" t="s">
        <v>7</v>
      </c>
      <c r="D59" s="23">
        <v>45992</v>
      </c>
      <c r="E59" s="24">
        <v>0.54166666666666663</v>
      </c>
      <c r="F59" s="26">
        <v>26185.95</v>
      </c>
      <c r="H59" s="23">
        <v>45992</v>
      </c>
      <c r="I59" s="24">
        <v>0.54166666666666663</v>
      </c>
    </row>
    <row r="60" spans="1:9" ht="15.75" thickBot="1" x14ac:dyDescent="0.3">
      <c r="A60" s="16">
        <f t="shared" si="0"/>
        <v>36</v>
      </c>
      <c r="B60" s="17" t="s">
        <v>8</v>
      </c>
      <c r="C60" s="17" t="s">
        <v>7</v>
      </c>
      <c r="D60" s="23">
        <v>45989</v>
      </c>
      <c r="E60" s="24">
        <v>0.60902777777777772</v>
      </c>
      <c r="F60" s="20">
        <v>26217.65</v>
      </c>
      <c r="H60" s="23">
        <v>45989</v>
      </c>
      <c r="I60" s="24">
        <v>0.60902777777777772</v>
      </c>
    </row>
    <row r="61" spans="1:9" ht="15.75" thickBot="1" x14ac:dyDescent="0.3">
      <c r="A61" s="18">
        <f t="shared" si="0"/>
        <v>36</v>
      </c>
      <c r="B61" s="19" t="s">
        <v>6</v>
      </c>
      <c r="C61" s="19" t="s">
        <v>7</v>
      </c>
      <c r="D61" s="23">
        <v>45989</v>
      </c>
      <c r="E61" s="24">
        <v>0.60763888888888884</v>
      </c>
      <c r="F61" s="27">
        <v>26209.3</v>
      </c>
      <c r="H61" s="23">
        <v>45989</v>
      </c>
      <c r="I61" s="24">
        <v>0.60763888888888884</v>
      </c>
    </row>
    <row r="62" spans="1:9" ht="15.75" thickBot="1" x14ac:dyDescent="0.3">
      <c r="A62" s="12">
        <f t="shared" si="0"/>
        <v>35</v>
      </c>
      <c r="B62" s="13" t="s">
        <v>8</v>
      </c>
      <c r="C62" s="13" t="s">
        <v>7</v>
      </c>
      <c r="D62" s="23">
        <v>45989</v>
      </c>
      <c r="E62" s="24">
        <v>0.56388888888888888</v>
      </c>
      <c r="F62" s="25">
        <v>26234.9</v>
      </c>
      <c r="H62" s="23">
        <v>45989</v>
      </c>
      <c r="I62" s="24">
        <v>0.56388888888888888</v>
      </c>
    </row>
    <row r="63" spans="1:9" ht="15.75" thickBot="1" x14ac:dyDescent="0.3">
      <c r="A63" s="14">
        <f t="shared" si="0"/>
        <v>35</v>
      </c>
      <c r="B63" s="15" t="s">
        <v>6</v>
      </c>
      <c r="C63" s="15" t="s">
        <v>7</v>
      </c>
      <c r="D63" s="23">
        <v>45989</v>
      </c>
      <c r="E63" s="24">
        <v>0.52777777777777779</v>
      </c>
      <c r="F63" s="26">
        <v>26235.65</v>
      </c>
      <c r="H63" s="23">
        <v>45989</v>
      </c>
      <c r="I63" s="24">
        <v>0.52777777777777779</v>
      </c>
    </row>
    <row r="64" spans="1:9" ht="15.75" thickBot="1" x14ac:dyDescent="0.3">
      <c r="A64" s="16">
        <f t="shared" si="0"/>
        <v>34</v>
      </c>
      <c r="B64" s="17" t="s">
        <v>8</v>
      </c>
      <c r="C64" s="17" t="s">
        <v>7</v>
      </c>
      <c r="D64" s="23">
        <v>45989</v>
      </c>
      <c r="E64" s="24">
        <v>0.44861111111111113</v>
      </c>
      <c r="F64" s="20">
        <v>26278.5</v>
      </c>
      <c r="H64" s="23">
        <v>45989</v>
      </c>
      <c r="I64" s="24">
        <v>0.44861111111111113</v>
      </c>
    </row>
    <row r="65" spans="1:9" ht="15.75" thickBot="1" x14ac:dyDescent="0.3">
      <c r="A65" s="18">
        <f t="shared" si="0"/>
        <v>34</v>
      </c>
      <c r="B65" s="19" t="s">
        <v>6</v>
      </c>
      <c r="C65" s="19" t="s">
        <v>7</v>
      </c>
      <c r="D65" s="23">
        <v>45989</v>
      </c>
      <c r="E65" s="24">
        <v>0.44444444444444442</v>
      </c>
      <c r="F65" s="27">
        <v>26267.85</v>
      </c>
      <c r="H65" s="23">
        <v>45989</v>
      </c>
      <c r="I65" s="24">
        <v>0.44444444444444442</v>
      </c>
    </row>
    <row r="66" spans="1:9" ht="15.75" thickBot="1" x14ac:dyDescent="0.3">
      <c r="A66" s="12">
        <f t="shared" si="0"/>
        <v>33</v>
      </c>
      <c r="B66" s="13" t="s">
        <v>8</v>
      </c>
      <c r="C66" s="13" t="s">
        <v>7</v>
      </c>
      <c r="D66" s="23">
        <v>45989</v>
      </c>
      <c r="E66" s="24">
        <v>0.41249999999999998</v>
      </c>
      <c r="F66" s="25">
        <v>26253.15</v>
      </c>
      <c r="H66" s="23">
        <v>45989</v>
      </c>
      <c r="I66" s="24">
        <v>0.41249999999999998</v>
      </c>
    </row>
    <row r="67" spans="1:9" ht="15.75" thickBot="1" x14ac:dyDescent="0.3">
      <c r="A67" s="14">
        <f t="shared" si="0"/>
        <v>33</v>
      </c>
      <c r="B67" s="15" t="s">
        <v>6</v>
      </c>
      <c r="C67" s="15" t="s">
        <v>7</v>
      </c>
      <c r="D67" s="23">
        <v>45989</v>
      </c>
      <c r="E67" s="24">
        <v>0.40972222222222221</v>
      </c>
      <c r="F67" s="26">
        <v>26240.05</v>
      </c>
      <c r="H67" s="23">
        <v>45989</v>
      </c>
      <c r="I67" s="24">
        <v>0.40972222222222221</v>
      </c>
    </row>
    <row r="68" spans="1:9" ht="15.75" thickBot="1" x14ac:dyDescent="0.3">
      <c r="A68" s="16">
        <f t="shared" si="0"/>
        <v>32</v>
      </c>
      <c r="B68" s="17" t="s">
        <v>8</v>
      </c>
      <c r="C68" s="17" t="s">
        <v>7</v>
      </c>
      <c r="D68" s="23">
        <v>45988</v>
      </c>
      <c r="E68" s="24">
        <v>0.6381944444444444</v>
      </c>
      <c r="F68" s="20">
        <v>26224.2</v>
      </c>
      <c r="H68" s="23">
        <v>45988</v>
      </c>
      <c r="I68" s="24">
        <v>0.6381944444444444</v>
      </c>
    </row>
    <row r="69" spans="1:9" ht="15.75" thickBot="1" x14ac:dyDescent="0.3">
      <c r="A69" s="18">
        <f t="shared" si="0"/>
        <v>32</v>
      </c>
      <c r="B69" s="19" t="s">
        <v>6</v>
      </c>
      <c r="C69" s="19" t="s">
        <v>7</v>
      </c>
      <c r="D69" s="23">
        <v>45988</v>
      </c>
      <c r="E69" s="24">
        <v>0.63194444444444442</v>
      </c>
      <c r="F69" s="27">
        <v>26212.799999999999</v>
      </c>
      <c r="H69" s="23">
        <v>45988</v>
      </c>
      <c r="I69" s="24">
        <v>0.63194444444444442</v>
      </c>
    </row>
    <row r="70" spans="1:9" ht="15.75" thickBot="1" x14ac:dyDescent="0.3">
      <c r="A70" s="12">
        <f t="shared" si="0"/>
        <v>31</v>
      </c>
      <c r="B70" s="13" t="s">
        <v>8</v>
      </c>
      <c r="C70" s="13" t="s">
        <v>7</v>
      </c>
      <c r="D70" s="23">
        <v>45988</v>
      </c>
      <c r="E70" s="24">
        <v>0.58333333333333337</v>
      </c>
      <c r="F70" s="25">
        <v>26189.05</v>
      </c>
      <c r="H70" s="23">
        <v>45988</v>
      </c>
      <c r="I70" s="24">
        <v>0.58333333333333337</v>
      </c>
    </row>
    <row r="71" spans="1:9" ht="15.75" thickBot="1" x14ac:dyDescent="0.3">
      <c r="A71" s="14">
        <f t="shared" si="0"/>
        <v>31</v>
      </c>
      <c r="B71" s="15" t="s">
        <v>6</v>
      </c>
      <c r="C71" s="15" t="s">
        <v>7</v>
      </c>
      <c r="D71" s="23">
        <v>45988</v>
      </c>
      <c r="E71" s="24">
        <v>0.57986111111111116</v>
      </c>
      <c r="F71" s="26">
        <v>26179.1</v>
      </c>
      <c r="H71" s="23">
        <v>45988</v>
      </c>
      <c r="I71" s="24">
        <v>0.57986111111111116</v>
      </c>
    </row>
    <row r="72" spans="1:9" ht="15.75" thickBot="1" x14ac:dyDescent="0.3">
      <c r="A72" s="16">
        <f t="shared" ref="A72:A131" si="1">A70-1</f>
        <v>30</v>
      </c>
      <c r="B72" s="17" t="s">
        <v>8</v>
      </c>
      <c r="C72" s="17" t="s">
        <v>7</v>
      </c>
      <c r="D72" s="23">
        <v>45988</v>
      </c>
      <c r="E72" s="24">
        <v>0.53611111111111109</v>
      </c>
      <c r="F72" s="20">
        <v>26255.35</v>
      </c>
      <c r="H72" s="23">
        <v>45988</v>
      </c>
      <c r="I72" s="24">
        <v>0.53611111111111109</v>
      </c>
    </row>
    <row r="73" spans="1:9" ht="15.75" thickBot="1" x14ac:dyDescent="0.3">
      <c r="A73" s="18">
        <f t="shared" si="1"/>
        <v>30</v>
      </c>
      <c r="B73" s="19" t="s">
        <v>6</v>
      </c>
      <c r="C73" s="19" t="s">
        <v>7</v>
      </c>
      <c r="D73" s="23">
        <v>45988</v>
      </c>
      <c r="E73" s="24">
        <v>0.53125</v>
      </c>
      <c r="F73" s="27">
        <v>26248.2</v>
      </c>
      <c r="H73" s="23">
        <v>45988</v>
      </c>
      <c r="I73" s="24">
        <v>0.53125</v>
      </c>
    </row>
    <row r="74" spans="1:9" ht="15.75" thickBot="1" x14ac:dyDescent="0.3">
      <c r="A74" s="12">
        <f t="shared" si="1"/>
        <v>29</v>
      </c>
      <c r="B74" s="13" t="s">
        <v>8</v>
      </c>
      <c r="C74" s="13" t="s">
        <v>7</v>
      </c>
      <c r="D74" s="23">
        <v>45988</v>
      </c>
      <c r="E74" s="24">
        <v>0.41944444444444445</v>
      </c>
      <c r="F74" s="25">
        <v>26295.85</v>
      </c>
      <c r="H74" s="23">
        <v>45988</v>
      </c>
      <c r="I74" s="24">
        <v>0.41944444444444445</v>
      </c>
    </row>
    <row r="75" spans="1:9" ht="15.75" thickBot="1" x14ac:dyDescent="0.3">
      <c r="A75" s="14">
        <f t="shared" si="1"/>
        <v>29</v>
      </c>
      <c r="B75" s="15" t="s">
        <v>6</v>
      </c>
      <c r="C75" s="15" t="s">
        <v>7</v>
      </c>
      <c r="D75" s="23">
        <v>45988</v>
      </c>
      <c r="E75" s="24">
        <v>0.41666666666666669</v>
      </c>
      <c r="F75" s="26">
        <v>26283.9</v>
      </c>
      <c r="H75" s="23">
        <v>45988</v>
      </c>
      <c r="I75" s="24">
        <v>0.41666666666666669</v>
      </c>
    </row>
    <row r="76" spans="1:9" ht="15.75" thickBot="1" x14ac:dyDescent="0.3">
      <c r="A76" s="16">
        <f t="shared" si="1"/>
        <v>28</v>
      </c>
      <c r="B76" s="17" t="s">
        <v>8</v>
      </c>
      <c r="C76" s="17" t="s">
        <v>7</v>
      </c>
      <c r="D76" s="23">
        <v>45987</v>
      </c>
      <c r="E76" s="24">
        <v>0.44791666666666669</v>
      </c>
      <c r="F76" s="20">
        <v>26098.55</v>
      </c>
      <c r="H76" s="23">
        <v>45987</v>
      </c>
      <c r="I76" s="24">
        <v>0.44791666666666669</v>
      </c>
    </row>
    <row r="77" spans="1:9" ht="15.75" thickBot="1" x14ac:dyDescent="0.3">
      <c r="A77" s="18">
        <f t="shared" si="1"/>
        <v>28</v>
      </c>
      <c r="B77" s="19" t="s">
        <v>6</v>
      </c>
      <c r="C77" s="19" t="s">
        <v>7</v>
      </c>
      <c r="D77" s="23">
        <v>45987</v>
      </c>
      <c r="E77" s="24">
        <v>0.44444444444444442</v>
      </c>
      <c r="F77" s="27">
        <v>26088.5</v>
      </c>
      <c r="H77" s="23">
        <v>45987</v>
      </c>
      <c r="I77" s="24">
        <v>0.44444444444444442</v>
      </c>
    </row>
    <row r="78" spans="1:9" ht="15.75" thickBot="1" x14ac:dyDescent="0.3">
      <c r="A78" s="12">
        <f t="shared" si="1"/>
        <v>27</v>
      </c>
      <c r="B78" s="13" t="s">
        <v>8</v>
      </c>
      <c r="C78" s="13" t="s">
        <v>9</v>
      </c>
      <c r="D78" s="23">
        <v>45985</v>
      </c>
      <c r="E78" s="24">
        <v>0.62916666666666665</v>
      </c>
      <c r="F78" s="25">
        <v>25964.3</v>
      </c>
      <c r="H78" s="23">
        <v>45985</v>
      </c>
      <c r="I78" s="24">
        <v>0.62916666666666665</v>
      </c>
    </row>
    <row r="79" spans="1:9" ht="15.75" thickBot="1" x14ac:dyDescent="0.3">
      <c r="A79" s="14">
        <f t="shared" si="1"/>
        <v>27</v>
      </c>
      <c r="B79" s="15" t="s">
        <v>6</v>
      </c>
      <c r="C79" s="15" t="s">
        <v>9</v>
      </c>
      <c r="D79" s="23">
        <v>45985</v>
      </c>
      <c r="E79" s="24">
        <v>0.62847222222222221</v>
      </c>
      <c r="F79" s="26">
        <v>25977.05</v>
      </c>
      <c r="H79" s="23">
        <v>45985</v>
      </c>
      <c r="I79" s="24">
        <v>0.62847222222222221</v>
      </c>
    </row>
    <row r="80" spans="1:9" ht="15.75" thickBot="1" x14ac:dyDescent="0.3">
      <c r="A80" s="16">
        <f t="shared" si="1"/>
        <v>26</v>
      </c>
      <c r="B80" s="17" t="s">
        <v>8</v>
      </c>
      <c r="C80" s="17" t="s">
        <v>7</v>
      </c>
      <c r="D80" s="23">
        <v>45985</v>
      </c>
      <c r="E80" s="24">
        <v>0.5493055555555556</v>
      </c>
      <c r="F80" s="20">
        <v>26091.95</v>
      </c>
      <c r="H80" s="23">
        <v>45985</v>
      </c>
      <c r="I80" s="24">
        <v>0.5493055555555556</v>
      </c>
    </row>
    <row r="81" spans="1:9" ht="15.75" thickBot="1" x14ac:dyDescent="0.3">
      <c r="A81" s="18">
        <f t="shared" si="1"/>
        <v>26</v>
      </c>
      <c r="B81" s="19" t="s">
        <v>6</v>
      </c>
      <c r="C81" s="19" t="s">
        <v>7</v>
      </c>
      <c r="D81" s="23">
        <v>45985</v>
      </c>
      <c r="E81" s="24">
        <v>0.54861111111111116</v>
      </c>
      <c r="F81" s="27">
        <v>26084.400000000001</v>
      </c>
      <c r="H81" s="23">
        <v>45985</v>
      </c>
      <c r="I81" s="24">
        <v>0.54861111111111116</v>
      </c>
    </row>
    <row r="82" spans="1:9" ht="15.75" thickBot="1" x14ac:dyDescent="0.3">
      <c r="A82" s="12">
        <f t="shared" si="1"/>
        <v>25</v>
      </c>
      <c r="B82" s="13" t="s">
        <v>8</v>
      </c>
      <c r="C82" s="13" t="s">
        <v>7</v>
      </c>
      <c r="D82" s="23">
        <v>45985</v>
      </c>
      <c r="E82" s="24">
        <v>0.53194444444444444</v>
      </c>
      <c r="F82" s="25">
        <v>26084.65</v>
      </c>
      <c r="H82" s="23">
        <v>45985</v>
      </c>
      <c r="I82" s="24">
        <v>0.53194444444444444</v>
      </c>
    </row>
    <row r="83" spans="1:9" ht="15.75" thickBot="1" x14ac:dyDescent="0.3">
      <c r="A83" s="14">
        <f t="shared" si="1"/>
        <v>25</v>
      </c>
      <c r="B83" s="15" t="s">
        <v>6</v>
      </c>
      <c r="C83" s="15" t="s">
        <v>7</v>
      </c>
      <c r="D83" s="23">
        <v>45985</v>
      </c>
      <c r="E83" s="24">
        <v>0.52777777777777779</v>
      </c>
      <c r="F83" s="26">
        <v>26078.05</v>
      </c>
      <c r="H83" s="23">
        <v>45985</v>
      </c>
      <c r="I83" s="24">
        <v>0.52777777777777779</v>
      </c>
    </row>
    <row r="84" spans="1:9" ht="15.75" thickBot="1" x14ac:dyDescent="0.3">
      <c r="A84" s="16">
        <f t="shared" si="1"/>
        <v>24</v>
      </c>
      <c r="B84" s="17" t="s">
        <v>8</v>
      </c>
      <c r="C84" s="17" t="s">
        <v>7</v>
      </c>
      <c r="D84" s="23">
        <v>45985</v>
      </c>
      <c r="E84" s="24">
        <v>0.48472222222222222</v>
      </c>
      <c r="F84" s="20">
        <v>26129.7</v>
      </c>
      <c r="H84" s="23">
        <v>45985</v>
      </c>
      <c r="I84" s="24">
        <v>0.48472222222222222</v>
      </c>
    </row>
    <row r="85" spans="1:9" ht="15.75" thickBot="1" x14ac:dyDescent="0.3">
      <c r="A85" s="18">
        <f t="shared" si="1"/>
        <v>24</v>
      </c>
      <c r="B85" s="19" t="s">
        <v>6</v>
      </c>
      <c r="C85" s="19" t="s">
        <v>7</v>
      </c>
      <c r="D85" s="23">
        <v>45985</v>
      </c>
      <c r="E85" s="24">
        <v>0.47916666666666669</v>
      </c>
      <c r="F85" s="27">
        <v>26122.2</v>
      </c>
      <c r="H85" s="23">
        <v>45985</v>
      </c>
      <c r="I85" s="24">
        <v>0.47916666666666669</v>
      </c>
    </row>
    <row r="86" spans="1:9" ht="15.75" thickBot="1" x14ac:dyDescent="0.3">
      <c r="A86" s="12">
        <f t="shared" si="1"/>
        <v>23</v>
      </c>
      <c r="B86" s="13" t="s">
        <v>8</v>
      </c>
      <c r="C86" s="13" t="s">
        <v>7</v>
      </c>
      <c r="D86" s="23">
        <v>45985</v>
      </c>
      <c r="E86" s="24">
        <v>0.42291666666666666</v>
      </c>
      <c r="F86" s="25">
        <v>26118.2</v>
      </c>
      <c r="H86" s="23">
        <v>45985</v>
      </c>
      <c r="I86" s="24">
        <v>0.42291666666666666</v>
      </c>
    </row>
    <row r="87" spans="1:9" ht="15.75" thickBot="1" x14ac:dyDescent="0.3">
      <c r="A87" s="14">
        <f t="shared" si="1"/>
        <v>23</v>
      </c>
      <c r="B87" s="15" t="s">
        <v>6</v>
      </c>
      <c r="C87" s="15" t="s">
        <v>7</v>
      </c>
      <c r="D87" s="23">
        <v>45985</v>
      </c>
      <c r="E87" s="24">
        <v>0.4201388888888889</v>
      </c>
      <c r="F87" s="26">
        <v>26108.65</v>
      </c>
      <c r="H87" s="23">
        <v>45985</v>
      </c>
      <c r="I87" s="24">
        <v>0.4201388888888889</v>
      </c>
    </row>
    <row r="88" spans="1:9" ht="15.75" thickBot="1" x14ac:dyDescent="0.3">
      <c r="A88" s="16">
        <f t="shared" si="1"/>
        <v>22</v>
      </c>
      <c r="B88" s="17" t="s">
        <v>8</v>
      </c>
      <c r="C88" s="17" t="s">
        <v>7</v>
      </c>
      <c r="D88" s="23">
        <v>45982</v>
      </c>
      <c r="E88" s="24">
        <v>0.50277777777777777</v>
      </c>
      <c r="F88" s="20">
        <v>26104.45</v>
      </c>
      <c r="H88" s="23">
        <v>45982</v>
      </c>
      <c r="I88" s="24">
        <v>0.50277777777777777</v>
      </c>
    </row>
    <row r="89" spans="1:9" ht="15.75" thickBot="1" x14ac:dyDescent="0.3">
      <c r="A89" s="18">
        <f t="shared" si="1"/>
        <v>22</v>
      </c>
      <c r="B89" s="19" t="s">
        <v>6</v>
      </c>
      <c r="C89" s="19" t="s">
        <v>7</v>
      </c>
      <c r="D89" s="23">
        <v>45982</v>
      </c>
      <c r="E89" s="24">
        <v>0.49652777777777779</v>
      </c>
      <c r="F89" s="27">
        <v>26096.2</v>
      </c>
      <c r="H89" s="23">
        <v>45982</v>
      </c>
      <c r="I89" s="24">
        <v>0.49652777777777779</v>
      </c>
    </row>
    <row r="90" spans="1:9" ht="15.75" thickBot="1" x14ac:dyDescent="0.3">
      <c r="A90" s="12">
        <f t="shared" si="1"/>
        <v>21</v>
      </c>
      <c r="B90" s="13" t="s">
        <v>8</v>
      </c>
      <c r="C90" s="13" t="s">
        <v>7</v>
      </c>
      <c r="D90" s="23">
        <v>45980</v>
      </c>
      <c r="E90" s="24">
        <v>0.54583333333333328</v>
      </c>
      <c r="F90" s="25">
        <v>26033.9</v>
      </c>
      <c r="H90" s="23">
        <v>45980</v>
      </c>
      <c r="I90" s="24">
        <v>0.54583333333333328</v>
      </c>
    </row>
    <row r="91" spans="1:9" ht="15.75" thickBot="1" x14ac:dyDescent="0.3">
      <c r="A91" s="14">
        <f t="shared" si="1"/>
        <v>21</v>
      </c>
      <c r="B91" s="15" t="s">
        <v>6</v>
      </c>
      <c r="C91" s="15" t="s">
        <v>7</v>
      </c>
      <c r="D91" s="23">
        <v>45980</v>
      </c>
      <c r="E91" s="24">
        <v>0.54513888888888884</v>
      </c>
      <c r="F91" s="26">
        <v>26025.8</v>
      </c>
      <c r="H91" s="23">
        <v>45980</v>
      </c>
      <c r="I91" s="24">
        <v>0.54513888888888884</v>
      </c>
    </row>
    <row r="92" spans="1:9" ht="15.75" thickBot="1" x14ac:dyDescent="0.3">
      <c r="A92" s="16">
        <f t="shared" si="1"/>
        <v>20</v>
      </c>
      <c r="B92" s="17" t="s">
        <v>8</v>
      </c>
      <c r="C92" s="17" t="s">
        <v>7</v>
      </c>
      <c r="D92" s="23">
        <v>45980</v>
      </c>
      <c r="E92" s="24">
        <v>0.41319444444444442</v>
      </c>
      <c r="F92" s="20">
        <v>25916.6</v>
      </c>
      <c r="H92" s="23">
        <v>45980</v>
      </c>
      <c r="I92" s="24">
        <v>0.41319444444444442</v>
      </c>
    </row>
    <row r="93" spans="1:9" ht="15.75" thickBot="1" x14ac:dyDescent="0.3">
      <c r="A93" s="18">
        <f t="shared" si="1"/>
        <v>20</v>
      </c>
      <c r="B93" s="19" t="s">
        <v>6</v>
      </c>
      <c r="C93" s="19" t="s">
        <v>7</v>
      </c>
      <c r="D93" s="23">
        <v>45980</v>
      </c>
      <c r="E93" s="24">
        <v>0.39583333333333331</v>
      </c>
      <c r="F93" s="27">
        <v>25903.65</v>
      </c>
      <c r="H93" s="23">
        <v>45980</v>
      </c>
      <c r="I93" s="24">
        <v>0.39583333333333331</v>
      </c>
    </row>
    <row r="94" spans="1:9" ht="15.75" thickBot="1" x14ac:dyDescent="0.3">
      <c r="A94" s="12">
        <f t="shared" si="1"/>
        <v>19</v>
      </c>
      <c r="B94" s="13" t="s">
        <v>8</v>
      </c>
      <c r="C94" s="13" t="s">
        <v>7</v>
      </c>
      <c r="D94" s="23">
        <v>45979</v>
      </c>
      <c r="E94" s="24">
        <v>0.64027777777777772</v>
      </c>
      <c r="F94" s="25">
        <v>25888.1</v>
      </c>
      <c r="H94" s="23">
        <v>45979</v>
      </c>
      <c r="I94" s="24">
        <v>0.64027777777777772</v>
      </c>
    </row>
    <row r="95" spans="1:9" ht="15.75" thickBot="1" x14ac:dyDescent="0.3">
      <c r="A95" s="14">
        <f t="shared" si="1"/>
        <v>19</v>
      </c>
      <c r="B95" s="15" t="s">
        <v>6</v>
      </c>
      <c r="C95" s="15" t="s">
        <v>7</v>
      </c>
      <c r="D95" s="23">
        <v>45979</v>
      </c>
      <c r="E95" s="24">
        <v>0.59375</v>
      </c>
      <c r="F95" s="26">
        <v>25988.45</v>
      </c>
      <c r="H95" s="23">
        <v>45979</v>
      </c>
      <c r="I95" s="24">
        <v>0.59375</v>
      </c>
    </row>
    <row r="96" spans="1:9" ht="15.75" thickBot="1" x14ac:dyDescent="0.3">
      <c r="A96" s="16">
        <f t="shared" si="1"/>
        <v>18</v>
      </c>
      <c r="B96" s="17" t="s">
        <v>8</v>
      </c>
      <c r="C96" s="17" t="s">
        <v>7</v>
      </c>
      <c r="D96" s="23">
        <v>45979</v>
      </c>
      <c r="E96" s="24">
        <v>0.58750000000000002</v>
      </c>
      <c r="F96" s="20">
        <v>25994.6</v>
      </c>
      <c r="H96" s="23">
        <v>45979</v>
      </c>
      <c r="I96" s="24">
        <v>0.58750000000000002</v>
      </c>
    </row>
    <row r="97" spans="1:10" ht="15.75" thickBot="1" x14ac:dyDescent="0.3">
      <c r="A97" s="18">
        <f t="shared" si="1"/>
        <v>18</v>
      </c>
      <c r="B97" s="19" t="s">
        <v>6</v>
      </c>
      <c r="C97" s="19" t="s">
        <v>7</v>
      </c>
      <c r="D97" s="23">
        <v>45979</v>
      </c>
      <c r="E97" s="24">
        <v>0.58680555555555558</v>
      </c>
      <c r="F97" s="27">
        <v>25985.5</v>
      </c>
      <c r="H97" s="23">
        <v>45979</v>
      </c>
      <c r="I97" s="24">
        <v>0.58680555555555558</v>
      </c>
    </row>
    <row r="98" spans="1:10" ht="15.75" thickBot="1" x14ac:dyDescent="0.3">
      <c r="A98" s="12">
        <f t="shared" si="1"/>
        <v>17</v>
      </c>
      <c r="B98" s="13" t="s">
        <v>8</v>
      </c>
      <c r="C98" s="13" t="s">
        <v>7</v>
      </c>
      <c r="D98" s="23">
        <v>45979</v>
      </c>
      <c r="E98" s="24">
        <v>0.55208333333333337</v>
      </c>
      <c r="F98" s="25">
        <v>25967.05</v>
      </c>
      <c r="H98" s="23">
        <v>45979</v>
      </c>
      <c r="I98" s="24">
        <v>0.55208333333333337</v>
      </c>
    </row>
    <row r="99" spans="1:10" ht="15.75" thickBot="1" x14ac:dyDescent="0.3">
      <c r="A99" s="14">
        <f t="shared" si="1"/>
        <v>17</v>
      </c>
      <c r="B99" s="15" t="s">
        <v>6</v>
      </c>
      <c r="C99" s="15" t="s">
        <v>7</v>
      </c>
      <c r="D99" s="23">
        <v>45979</v>
      </c>
      <c r="E99" s="24">
        <v>0.54513888888888884</v>
      </c>
      <c r="F99" s="26">
        <v>25960.25</v>
      </c>
      <c r="H99" s="23">
        <v>45979</v>
      </c>
      <c r="I99" s="24">
        <v>0.54513888888888884</v>
      </c>
    </row>
    <row r="100" spans="1:10" ht="15.75" thickBot="1" x14ac:dyDescent="0.3">
      <c r="A100" s="16">
        <f t="shared" si="1"/>
        <v>16</v>
      </c>
      <c r="B100" s="17" t="s">
        <v>8</v>
      </c>
      <c r="C100" s="17" t="s">
        <v>7</v>
      </c>
      <c r="D100" s="23">
        <v>45979</v>
      </c>
      <c r="E100" s="24">
        <v>0.45555555555555555</v>
      </c>
      <c r="F100" s="20">
        <v>25923.3</v>
      </c>
      <c r="H100" s="23">
        <v>45979</v>
      </c>
      <c r="I100" s="24">
        <v>0.45555555555555555</v>
      </c>
    </row>
    <row r="101" spans="1:10" ht="15.75" thickBot="1" x14ac:dyDescent="0.3">
      <c r="A101" s="18">
        <f t="shared" si="1"/>
        <v>16</v>
      </c>
      <c r="B101" s="19" t="s">
        <v>6</v>
      </c>
      <c r="C101" s="19" t="s">
        <v>7</v>
      </c>
      <c r="D101" s="23">
        <v>45979</v>
      </c>
      <c r="E101" s="24">
        <v>0.4513888888888889</v>
      </c>
      <c r="F101" s="27">
        <v>25915.1</v>
      </c>
      <c r="H101" s="23">
        <v>45979</v>
      </c>
      <c r="I101" s="24">
        <v>0.4513888888888889</v>
      </c>
    </row>
    <row r="102" spans="1:10" ht="15.75" thickBot="1" x14ac:dyDescent="0.3">
      <c r="A102" s="12">
        <f t="shared" si="1"/>
        <v>15</v>
      </c>
      <c r="B102" s="13" t="s">
        <v>8</v>
      </c>
      <c r="C102" s="13" t="s">
        <v>7</v>
      </c>
      <c r="D102" s="23">
        <v>45978</v>
      </c>
      <c r="E102" s="24">
        <v>0.63749999999999996</v>
      </c>
      <c r="F102" s="25">
        <v>26016.7</v>
      </c>
      <c r="H102" s="23">
        <v>45978</v>
      </c>
      <c r="I102" s="24">
        <v>0.63749999999999996</v>
      </c>
    </row>
    <row r="103" spans="1:10" ht="15.75" thickBot="1" x14ac:dyDescent="0.3">
      <c r="A103" s="14">
        <f t="shared" si="1"/>
        <v>15</v>
      </c>
      <c r="B103" s="15" t="s">
        <v>6</v>
      </c>
      <c r="C103" s="15" t="s">
        <v>7</v>
      </c>
      <c r="D103" s="23">
        <v>45978</v>
      </c>
      <c r="E103" s="24">
        <v>0.62847222222222221</v>
      </c>
      <c r="F103" s="26">
        <v>26010.7</v>
      </c>
      <c r="H103" s="23">
        <v>45978</v>
      </c>
      <c r="I103" s="24">
        <v>0.62847222222222221</v>
      </c>
    </row>
    <row r="104" spans="1:10" ht="15.75" thickBot="1" x14ac:dyDescent="0.3">
      <c r="A104" s="16">
        <f t="shared" si="1"/>
        <v>14</v>
      </c>
      <c r="B104" s="17" t="s">
        <v>8</v>
      </c>
      <c r="C104" s="17" t="s">
        <v>7</v>
      </c>
      <c r="D104" s="23">
        <v>45978</v>
      </c>
      <c r="E104" s="24">
        <v>0.49444444444444446</v>
      </c>
      <c r="F104" s="20">
        <v>25950.75</v>
      </c>
      <c r="H104" s="23">
        <v>45978</v>
      </c>
      <c r="I104" s="24">
        <v>0.49444444444444446</v>
      </c>
    </row>
    <row r="105" spans="1:10" ht="15.75" thickBot="1" x14ac:dyDescent="0.3">
      <c r="A105" s="18">
        <f t="shared" si="1"/>
        <v>14</v>
      </c>
      <c r="B105" s="19" t="s">
        <v>6</v>
      </c>
      <c r="C105" s="19" t="s">
        <v>7</v>
      </c>
      <c r="D105" s="23">
        <v>45978</v>
      </c>
      <c r="E105" s="24">
        <v>0.48958333333333331</v>
      </c>
      <c r="F105" s="27">
        <v>25943.5</v>
      </c>
      <c r="H105" s="23">
        <v>45978</v>
      </c>
      <c r="I105" s="24">
        <v>0.48958333333333331</v>
      </c>
    </row>
    <row r="106" spans="1:10" ht="15.75" thickBot="1" x14ac:dyDescent="0.3">
      <c r="A106" s="12">
        <f t="shared" si="1"/>
        <v>13</v>
      </c>
      <c r="B106" s="13" t="s">
        <v>8</v>
      </c>
      <c r="C106" s="13" t="s">
        <v>7</v>
      </c>
      <c r="D106" s="23">
        <v>45975</v>
      </c>
      <c r="E106" s="24">
        <v>0.62916666666666665</v>
      </c>
      <c r="F106" s="25">
        <v>25900</v>
      </c>
      <c r="H106" s="23">
        <v>45975</v>
      </c>
      <c r="I106" s="24">
        <v>0.62916666666666665</v>
      </c>
      <c r="J106" t="s">
        <v>10</v>
      </c>
    </row>
    <row r="107" spans="1:10" ht="15.75" thickBot="1" x14ac:dyDescent="0.3">
      <c r="A107" s="14">
        <f t="shared" si="1"/>
        <v>13</v>
      </c>
      <c r="B107" s="15" t="s">
        <v>6</v>
      </c>
      <c r="C107" s="15" t="s">
        <v>7</v>
      </c>
      <c r="D107" s="23">
        <v>45975</v>
      </c>
      <c r="E107" s="24">
        <v>0.62847222222222221</v>
      </c>
      <c r="F107" s="26">
        <v>25887.55</v>
      </c>
      <c r="H107" s="23">
        <v>45975</v>
      </c>
      <c r="I107" s="24">
        <v>0.62847222222222221</v>
      </c>
    </row>
    <row r="108" spans="1:10" ht="15.75" thickBot="1" x14ac:dyDescent="0.3">
      <c r="A108" s="16">
        <f t="shared" si="1"/>
        <v>12</v>
      </c>
      <c r="B108" s="17" t="s">
        <v>8</v>
      </c>
      <c r="C108" s="17" t="s">
        <v>9</v>
      </c>
      <c r="D108" s="23">
        <v>45975</v>
      </c>
      <c r="E108" s="24">
        <v>0.57291666666666663</v>
      </c>
      <c r="F108" s="20">
        <v>25757.65</v>
      </c>
      <c r="H108" s="23">
        <v>45975</v>
      </c>
      <c r="I108" s="24">
        <v>0.57291666666666663</v>
      </c>
    </row>
    <row r="109" spans="1:10" ht="15.75" thickBot="1" x14ac:dyDescent="0.3">
      <c r="A109" s="18">
        <f t="shared" si="1"/>
        <v>12</v>
      </c>
      <c r="B109" s="19" t="s">
        <v>6</v>
      </c>
      <c r="C109" s="19" t="s">
        <v>9</v>
      </c>
      <c r="D109" s="23">
        <v>45975</v>
      </c>
      <c r="E109" s="24">
        <v>0.56944444444444442</v>
      </c>
      <c r="F109" s="27">
        <v>25769.45</v>
      </c>
      <c r="H109" s="23">
        <v>45975</v>
      </c>
      <c r="I109" s="24">
        <v>0.56944444444444442</v>
      </c>
    </row>
    <row r="110" spans="1:10" ht="15.75" thickBot="1" x14ac:dyDescent="0.3">
      <c r="A110" s="12">
        <f t="shared" si="1"/>
        <v>11</v>
      </c>
      <c r="B110" s="13" t="s">
        <v>8</v>
      </c>
      <c r="C110" s="13" t="s">
        <v>7</v>
      </c>
      <c r="D110" s="23">
        <v>45975</v>
      </c>
      <c r="E110" s="24">
        <v>0.55972222222222223</v>
      </c>
      <c r="F110" s="21">
        <v>25815.15</v>
      </c>
      <c r="H110" s="23">
        <v>45975</v>
      </c>
      <c r="I110" s="24">
        <v>0.55972222222222223</v>
      </c>
    </row>
    <row r="111" spans="1:10" ht="15.75" thickBot="1" x14ac:dyDescent="0.3">
      <c r="A111" s="14">
        <f t="shared" si="1"/>
        <v>11</v>
      </c>
      <c r="B111" s="15" t="s">
        <v>6</v>
      </c>
      <c r="C111" s="15" t="s">
        <v>7</v>
      </c>
      <c r="D111" s="23">
        <v>45975</v>
      </c>
      <c r="E111" s="24">
        <v>0.55555555555555558</v>
      </c>
      <c r="F111" s="26">
        <v>25804.7</v>
      </c>
      <c r="H111" s="23">
        <v>45975</v>
      </c>
      <c r="I111" s="24">
        <v>0.55555555555555558</v>
      </c>
    </row>
    <row r="112" spans="1:10" ht="15.75" thickBot="1" x14ac:dyDescent="0.3">
      <c r="A112" s="16">
        <f t="shared" si="1"/>
        <v>10</v>
      </c>
      <c r="B112" s="17" t="s">
        <v>8</v>
      </c>
      <c r="C112" s="17" t="s">
        <v>7</v>
      </c>
      <c r="D112" s="23">
        <v>45975</v>
      </c>
      <c r="E112" s="24">
        <v>0.45624999999999999</v>
      </c>
      <c r="F112" s="20">
        <v>25851.4</v>
      </c>
      <c r="H112" s="23">
        <v>45975</v>
      </c>
      <c r="I112" s="24">
        <v>0.45624999999999999</v>
      </c>
    </row>
    <row r="113" spans="1:9" ht="15.75" thickBot="1" x14ac:dyDescent="0.3">
      <c r="A113" s="18">
        <f t="shared" si="1"/>
        <v>10</v>
      </c>
      <c r="B113" s="19" t="s">
        <v>6</v>
      </c>
      <c r="C113" s="19" t="s">
        <v>7</v>
      </c>
      <c r="D113" s="23">
        <v>45975</v>
      </c>
      <c r="E113" s="24">
        <v>0.39930555555555558</v>
      </c>
      <c r="F113" s="27">
        <v>25877.35</v>
      </c>
      <c r="H113" s="23">
        <v>45975</v>
      </c>
      <c r="I113" s="24">
        <v>0.39930555555555558</v>
      </c>
    </row>
    <row r="114" spans="1:9" ht="15.75" thickBot="1" x14ac:dyDescent="0.3">
      <c r="A114" s="12">
        <f t="shared" si="1"/>
        <v>9</v>
      </c>
      <c r="B114" s="13" t="s">
        <v>8</v>
      </c>
      <c r="C114" s="13" t="s">
        <v>7</v>
      </c>
      <c r="D114" s="23">
        <v>45974</v>
      </c>
      <c r="E114" s="24">
        <v>0.57013888888888886</v>
      </c>
      <c r="F114" s="25">
        <v>26000.75</v>
      </c>
      <c r="H114" s="23">
        <v>45974</v>
      </c>
      <c r="I114" s="24">
        <v>0.57013888888888886</v>
      </c>
    </row>
    <row r="115" spans="1:9" ht="15.75" thickBot="1" x14ac:dyDescent="0.3">
      <c r="A115" s="14">
        <f t="shared" si="1"/>
        <v>9</v>
      </c>
      <c r="B115" s="15" t="s">
        <v>6</v>
      </c>
      <c r="C115" s="15" t="s">
        <v>7</v>
      </c>
      <c r="D115" s="23">
        <v>45974</v>
      </c>
      <c r="E115" s="24">
        <v>0.56944444444444442</v>
      </c>
      <c r="F115" s="26">
        <v>25994.35</v>
      </c>
      <c r="H115" s="23">
        <v>45974</v>
      </c>
      <c r="I115" s="24">
        <v>0.56944444444444442</v>
      </c>
    </row>
    <row r="116" spans="1:9" ht="15.75" thickBot="1" x14ac:dyDescent="0.3">
      <c r="A116" s="16">
        <f t="shared" si="1"/>
        <v>8</v>
      </c>
      <c r="B116" s="17" t="s">
        <v>8</v>
      </c>
      <c r="C116" s="17" t="s">
        <v>7</v>
      </c>
      <c r="D116" s="23">
        <v>45974</v>
      </c>
      <c r="E116" s="24">
        <v>0.49930555555555556</v>
      </c>
      <c r="F116" s="20">
        <v>25978.5</v>
      </c>
      <c r="H116" s="23">
        <v>45974</v>
      </c>
      <c r="I116" s="24">
        <v>0.49930555555555556</v>
      </c>
    </row>
    <row r="117" spans="1:9" ht="15.75" thickBot="1" x14ac:dyDescent="0.3">
      <c r="A117" s="18">
        <f t="shared" si="1"/>
        <v>8</v>
      </c>
      <c r="B117" s="19" t="s">
        <v>6</v>
      </c>
      <c r="C117" s="19" t="s">
        <v>7</v>
      </c>
      <c r="D117" s="23">
        <v>45974</v>
      </c>
      <c r="E117" s="24">
        <v>0.4861111111111111</v>
      </c>
      <c r="F117" s="28">
        <v>25971.35</v>
      </c>
      <c r="H117" s="23">
        <v>45974</v>
      </c>
      <c r="I117" s="24">
        <v>0.4861111111111111</v>
      </c>
    </row>
    <row r="118" spans="1:9" ht="15.75" thickBot="1" x14ac:dyDescent="0.3">
      <c r="A118" s="12">
        <f t="shared" si="1"/>
        <v>7</v>
      </c>
      <c r="B118" s="13" t="s">
        <v>8</v>
      </c>
      <c r="C118" s="13" t="s">
        <v>7</v>
      </c>
      <c r="D118" s="23">
        <v>45974</v>
      </c>
      <c r="E118" s="24">
        <v>0.42152777777777778</v>
      </c>
      <c r="F118" s="25">
        <v>25890.85</v>
      </c>
      <c r="H118" s="23">
        <v>45974</v>
      </c>
      <c r="I118" s="24">
        <v>0.42152777777777778</v>
      </c>
    </row>
    <row r="119" spans="1:9" ht="15.75" thickBot="1" x14ac:dyDescent="0.3">
      <c r="A119" s="14">
        <f t="shared" si="1"/>
        <v>7</v>
      </c>
      <c r="B119" s="15" t="s">
        <v>6</v>
      </c>
      <c r="C119" s="15" t="s">
        <v>7</v>
      </c>
      <c r="D119" s="23">
        <v>45974</v>
      </c>
      <c r="E119" s="24">
        <v>0.40972222222222221</v>
      </c>
      <c r="F119" s="26">
        <v>25880.45</v>
      </c>
      <c r="H119" s="23">
        <v>45974</v>
      </c>
      <c r="I119" s="24">
        <v>0.40972222222222221</v>
      </c>
    </row>
    <row r="120" spans="1:9" ht="15.75" thickBot="1" x14ac:dyDescent="0.3">
      <c r="A120" s="16">
        <f t="shared" si="1"/>
        <v>6</v>
      </c>
      <c r="B120" s="17" t="s">
        <v>8</v>
      </c>
      <c r="C120" s="17" t="s">
        <v>7</v>
      </c>
      <c r="D120" s="23">
        <v>45974</v>
      </c>
      <c r="E120" s="24">
        <v>0.38541666666666669</v>
      </c>
      <c r="F120" s="20">
        <v>25906.799999999999</v>
      </c>
      <c r="H120" s="23">
        <v>45974</v>
      </c>
      <c r="I120" s="24">
        <v>0.38541666666666669</v>
      </c>
    </row>
    <row r="121" spans="1:9" ht="15.75" thickBot="1" x14ac:dyDescent="0.3">
      <c r="A121" s="18">
        <f t="shared" si="1"/>
        <v>6</v>
      </c>
      <c r="B121" s="19" t="s">
        <v>6</v>
      </c>
      <c r="C121" s="19" t="s">
        <v>7</v>
      </c>
      <c r="D121" s="23">
        <v>45973</v>
      </c>
      <c r="E121" s="24">
        <v>0.62152777777777779</v>
      </c>
      <c r="F121" s="27">
        <v>25894.85</v>
      </c>
      <c r="H121" s="23">
        <v>45973</v>
      </c>
      <c r="I121" s="24">
        <v>0.62152777777777779</v>
      </c>
    </row>
    <row r="122" spans="1:9" ht="15.75" thickBot="1" x14ac:dyDescent="0.3">
      <c r="A122" s="12">
        <f t="shared" si="1"/>
        <v>5</v>
      </c>
      <c r="B122" s="13" t="s">
        <v>8</v>
      </c>
      <c r="C122" s="13" t="s">
        <v>7</v>
      </c>
      <c r="D122" s="23">
        <v>45973</v>
      </c>
      <c r="E122" s="24">
        <v>0.4777777777777778</v>
      </c>
      <c r="F122" s="21">
        <v>25889</v>
      </c>
      <c r="H122" s="23">
        <v>45973</v>
      </c>
      <c r="I122" s="24">
        <v>0.4777777777777778</v>
      </c>
    </row>
    <row r="123" spans="1:9" ht="15.75" thickBot="1" x14ac:dyDescent="0.3">
      <c r="A123" s="14">
        <f t="shared" si="1"/>
        <v>5</v>
      </c>
      <c r="B123" s="15" t="s">
        <v>6</v>
      </c>
      <c r="C123" s="15" t="s">
        <v>7</v>
      </c>
      <c r="D123" s="23">
        <v>45973</v>
      </c>
      <c r="E123" s="24">
        <v>0.46527777777777779</v>
      </c>
      <c r="F123" s="26">
        <v>25881.75</v>
      </c>
      <c r="H123" s="23">
        <v>45973</v>
      </c>
      <c r="I123" s="24">
        <v>0.46527777777777779</v>
      </c>
    </row>
    <row r="124" spans="1:9" ht="15.75" thickBot="1" x14ac:dyDescent="0.3">
      <c r="A124" s="16">
        <f t="shared" si="1"/>
        <v>4</v>
      </c>
      <c r="B124" s="17" t="s">
        <v>8</v>
      </c>
      <c r="C124" s="17" t="s">
        <v>7</v>
      </c>
      <c r="D124" s="23">
        <v>45973</v>
      </c>
      <c r="E124" s="24">
        <v>0.44444444444444442</v>
      </c>
      <c r="F124" s="20">
        <v>25871</v>
      </c>
      <c r="H124" s="23">
        <v>45973</v>
      </c>
      <c r="I124" s="24">
        <v>0.44444444444444442</v>
      </c>
    </row>
    <row r="125" spans="1:9" ht="15.75" thickBot="1" x14ac:dyDescent="0.3">
      <c r="A125" s="18">
        <f t="shared" si="1"/>
        <v>4</v>
      </c>
      <c r="B125" s="19" t="s">
        <v>6</v>
      </c>
      <c r="C125" s="19" t="s">
        <v>7</v>
      </c>
      <c r="D125" s="23">
        <v>45973</v>
      </c>
      <c r="E125" s="24">
        <v>0.44097222222222221</v>
      </c>
      <c r="F125" s="27">
        <v>25857.85</v>
      </c>
      <c r="H125" s="23">
        <v>45973</v>
      </c>
      <c r="I125" s="24">
        <v>0.44097222222222221</v>
      </c>
    </row>
    <row r="126" spans="1:9" ht="15.75" thickBot="1" x14ac:dyDescent="0.3">
      <c r="A126" s="12">
        <f t="shared" si="1"/>
        <v>3</v>
      </c>
      <c r="B126" s="13" t="s">
        <v>8</v>
      </c>
      <c r="C126" s="13" t="s">
        <v>7</v>
      </c>
      <c r="D126" s="23">
        <v>45972</v>
      </c>
      <c r="E126" s="24">
        <v>0.55277777777777781</v>
      </c>
      <c r="F126" s="21">
        <v>25598.1</v>
      </c>
      <c r="H126" s="23">
        <v>45972</v>
      </c>
      <c r="I126" s="24">
        <v>0.55277777777777781</v>
      </c>
    </row>
    <row r="127" spans="1:9" ht="15.75" thickBot="1" x14ac:dyDescent="0.3">
      <c r="A127" s="14">
        <f t="shared" si="1"/>
        <v>3</v>
      </c>
      <c r="B127" s="15" t="s">
        <v>6</v>
      </c>
      <c r="C127" s="15" t="s">
        <v>7</v>
      </c>
      <c r="D127" s="23">
        <v>45972</v>
      </c>
      <c r="E127" s="24">
        <v>0.55208333333333337</v>
      </c>
      <c r="F127" s="26">
        <v>25587.85</v>
      </c>
      <c r="H127" s="23">
        <v>45972</v>
      </c>
      <c r="I127" s="24">
        <v>0.55208333333333337</v>
      </c>
    </row>
    <row r="128" spans="1:9" ht="15.75" thickBot="1" x14ac:dyDescent="0.3">
      <c r="A128" s="16">
        <f t="shared" si="1"/>
        <v>2</v>
      </c>
      <c r="B128" s="17" t="s">
        <v>8</v>
      </c>
      <c r="C128" s="17" t="s">
        <v>9</v>
      </c>
      <c r="D128" s="23">
        <v>45971</v>
      </c>
      <c r="E128" s="24">
        <v>0.625</v>
      </c>
      <c r="F128" s="20">
        <v>25595.15</v>
      </c>
      <c r="H128" s="23">
        <v>45971</v>
      </c>
      <c r="I128" s="24">
        <v>0.625</v>
      </c>
    </row>
    <row r="129" spans="1:9" ht="15.75" thickBot="1" x14ac:dyDescent="0.3">
      <c r="A129" s="18">
        <f t="shared" si="1"/>
        <v>2</v>
      </c>
      <c r="B129" s="19" t="s">
        <v>6</v>
      </c>
      <c r="C129" s="19" t="s">
        <v>9</v>
      </c>
      <c r="D129" s="23">
        <v>45971</v>
      </c>
      <c r="E129" s="24">
        <v>0.61458333333333337</v>
      </c>
      <c r="F129" s="27">
        <v>25603.5</v>
      </c>
      <c r="H129" s="23">
        <v>45971</v>
      </c>
      <c r="I129" s="24">
        <v>0.61458333333333337</v>
      </c>
    </row>
    <row r="130" spans="1:9" ht="15.75" thickBot="1" x14ac:dyDescent="0.3">
      <c r="A130" s="12">
        <f t="shared" si="1"/>
        <v>1</v>
      </c>
      <c r="B130" s="13" t="s">
        <v>8</v>
      </c>
      <c r="C130" s="13" t="s">
        <v>7</v>
      </c>
      <c r="D130" s="23">
        <v>45971</v>
      </c>
      <c r="E130" s="24">
        <v>0.4597222222222222</v>
      </c>
      <c r="F130" s="25">
        <v>25621.85</v>
      </c>
      <c r="H130" s="23">
        <v>45971</v>
      </c>
      <c r="I130" s="24">
        <v>0.4597222222222222</v>
      </c>
    </row>
    <row r="131" spans="1:9" ht="15.75" thickBot="1" x14ac:dyDescent="0.3">
      <c r="A131" s="14">
        <f t="shared" si="1"/>
        <v>1</v>
      </c>
      <c r="B131" s="15" t="s">
        <v>6</v>
      </c>
      <c r="C131" s="15" t="s">
        <v>7</v>
      </c>
      <c r="D131" s="23">
        <v>45971</v>
      </c>
      <c r="E131" s="24">
        <v>0.45833333333333331</v>
      </c>
      <c r="F131" s="29">
        <v>25612.799999999999</v>
      </c>
      <c r="H131" s="23">
        <v>45971</v>
      </c>
      <c r="I131" s="24">
        <v>0.45833333333333331</v>
      </c>
    </row>
  </sheetData>
  <autoFilter ref="A1:F131" xr:uid="{C0048B7E-2AF6-4482-B43D-15129FCAD6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Doulat Dutta</cp:lastModifiedBy>
  <dcterms:created xsi:type="dcterms:W3CDTF">2025-11-17T19:54:20Z</dcterms:created>
  <dcterms:modified xsi:type="dcterms:W3CDTF">2026-01-23T23:02:42Z</dcterms:modified>
</cp:coreProperties>
</file>